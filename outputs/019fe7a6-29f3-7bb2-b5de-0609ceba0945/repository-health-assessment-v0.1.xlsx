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6.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1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1826f332ba74da4" /></Relationships>
</file>

<file path=xl/workbook.xml><?xml version="1.0" encoding="utf-8"?>
<x:workbook xmlns:x="http://schemas.openxmlformats.org/spreadsheetml/2006/main">
  <x:sheets>
    <x:sheet xmlns:r="http://schemas.openxmlformats.org/officeDocument/2006/relationships" name="Instructions" sheetId="1" r:id="Ra439bbb9c9c34379"/>
    <x:sheet xmlns:r="http://schemas.openxmlformats.org/officeDocument/2006/relationships" name="Profile" sheetId="2" r:id="R0967d8e795d44686"/>
    <x:sheet xmlns:r="http://schemas.openxmlformats.org/officeDocument/2006/relationships" name="Units" sheetId="3" r:id="R2a187dfdd83a47cb"/>
    <x:sheet xmlns:r="http://schemas.openxmlformats.org/officeDocument/2006/relationships" name="Methodology" sheetId="4" r:id="Rf0af44f973044c53"/>
    <x:sheet xmlns:r="http://schemas.openxmlformats.org/officeDocument/2006/relationships" name="Controls" sheetId="5" r:id="Re9ec19dc4c1143c7"/>
    <x:sheet xmlns:r="http://schemas.openxmlformats.org/officeDocument/2006/relationships" name="Scorecard" sheetId="6" r:id="Rfd26c30a3cc24f25"/>
    <x:sheet xmlns:r="http://schemas.openxmlformats.org/officeDocument/2006/relationships" name="Evidence" sheetId="7" r:id="R46239e548f6440f8"/>
    <x:sheet xmlns:r="http://schemas.openxmlformats.org/officeDocument/2006/relationships" name="Findings" sheetId="8" r:id="Rb8fbb0780cdc4931"/>
    <x:sheet xmlns:r="http://schemas.openxmlformats.org/officeDocument/2006/relationships" name="Exceptions" sheetId="9" r:id="Rd303fcafb40744fa"/>
    <x:sheet xmlns:r="http://schemas.openxmlformats.org/officeDocument/2006/relationships" name="DORA Outcomes" sheetId="10" r:id="Rf154bde5eec84ff7"/>
    <x:sheet xmlns:r="http://schemas.openxmlformats.org/officeDocument/2006/relationships" name="Pilot Register" sheetId="11" r:id="Re5258eaa60ff4043"/>
    <x:sheet xmlns:r="http://schemas.openxmlformats.org/officeDocument/2006/relationships" name="Lists" sheetId="12" r:id="R1b08452848c24895"/>
  </x:sheets>
</x:workbook>
</file>

<file path=xl/comments1.xml><?xml version="1.0" encoding="utf-8"?>
<x:comments xmlns:x="http://schemas.openxmlformats.org/spreadsheetml/2006/main">
  <x:authors>
    <x:author>tc={AAE43180-F1BD-E5B8-72B1-F1A2430A0525}</x:author>
  </x:authors>
  <x:commentList>
    <x:comment ref="O4" authorId="0">
      <x:text>
        <x:r>
          <x:t>[Threaded comment]
Your version of Excel allows you to read this threaded comment; however, any edits to it will get removed if the file is opened in a newer version of Excel. Learn more: https://go.microsoft.com/fwlink/?linkid=870924
Comment:
    For N/A, this ID must resolve to an Active N/A determination on the Exceptions sheet; list the affected control IDs in that decision record.</x:t>
        </x:r>
      </x:text>
    </x:comment>
  </x:commentList>
</x:comments>
</file>

<file path=xl/comments2.xml><?xml version="1.0" encoding="utf-8"?>
<x:comments xmlns:x="http://schemas.openxmlformats.org/spreadsheetml/2006/main">
  <x:authors>
    <x:author>tc={8F43AD92-235E-0F02-8E18-DE78A06178E8}</x:author>
    <x:author>tc={35BDD569-11DC-F5ED-C439-03B11F0592C5}</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Raw score is earned applicable points divided by maximum applicable points. N/A and below-tier controls are excluded.</x:t>
        </x:r>
      </x:text>
    </x:comment>
    <x:comment ref="B7" authorId="1">
      <x:text>
        <x:r>
          <x:t>[Threaded comment]
Your version of Excel allows you to read this threaded comment; however, any edits to it will get removed if the file is opened in a newer version of Excel. Learn more: https://go.microsoft.com/fwlink/?linkid=870924
Comment:
    Final score equals the raw score unless any foundational gate fails or is Unknown; the cap is then 69 / D / M1 — Developing.</x:t>
        </x:r>
      </x:text>
    </x:comment>
  </x:commentList>
</x:comments>
</file>

<file path=xl/comments3.xml><?xml version="1.0" encoding="utf-8"?>
<x:comments xmlns:x="http://schemas.openxmlformats.org/spreadsheetml/2006/main">
  <x:authors>
    <x:author>tc={1F585332-92E5-3753-F81C-35464AB1F6BE}</x:author>
  </x:authors>
  <x:commentList>
    <x:comment ref="F4" authorId="0">
      <x:text>
        <x:r>
          <x:t>[Threaded comment]
Your version of Excel allows you to read this threaded comment; however, any edits to it will get removed if the file is opened in a newer version of Excel. Learn more: https://go.microsoft.com/fwlink/?linkid=870924
Comment:
    Pilot-lead-only opaque code. Keep the stratum-to-expectation key outside assessor materials until both independent assessments are locked.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
    <x:numFmt numFmtId="202" formatCode="0%"/>
    <x:numFmt numFmtId="203" formatCode="0.0%"/>
  </x:numFmts>
  <x:fonts count="6">
    <x:font>
      <x:sz val="11"/>
      <x:name val="Carlito"/>
    </x:font>
    <x:font>
      <x:b/>
      <x:sz val="11"/>
      <x:color rgb="FFFFFFFF"/>
      <x:name val="Carlito"/>
    </x:font>
    <x:font>
      <x:i/>
      <x:sz val="11"/>
      <x:color rgb="FF595959"/>
      <x:name val="Carlito"/>
    </x:font>
    <x:font>
      <x:b/>
      <x:sz val="11"/>
      <x:name val="Carlito"/>
    </x:font>
    <x:font>
      <x:b/>
      <x:i/>
      <x:sz val="11"/>
      <x:name val="Carlito"/>
    </x:font>
    <x:font>
      <x:i/>
      <x:sz val="11"/>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2F75B5"/>
      </x:patternFill>
    </x:fill>
    <x:fill>
      <x:patternFill patternType="solid">
        <x:fgColor rgb="FFF2F2F2"/>
      </x:patternFill>
    </x:fill>
    <x:fill>
      <x:patternFill patternType="solid">
        <x:fgColor rgb="FFDDEBF7"/>
      </x:patternFill>
    </x:fill>
  </x:fills>
  <x:borders count="8">
    <x:border/>
    <x:border>
      <x:left style="thin">
        <x:color rgb="FFC9B458"/>
      </x:left>
      <x:top style="thin">
        <x:color rgb="FFC9B458"/>
      </x:top>
      <x:bottom style="thin">
        <x:color rgb="FFC9B458"/>
      </x:bottom>
    </x:border>
    <x:border>
      <x:top style="thin">
        <x:color rgb="FFC9B458"/>
      </x:top>
      <x:bottom style="thin">
        <x:color rgb="FFC9B458"/>
      </x:bottom>
    </x:border>
    <x:border>
      <x:right style="thin">
        <x:color rgb="FFC9B458"/>
      </x:right>
      <x:top style="thin">
        <x:color rgb="FFC9B458"/>
      </x:top>
      <x:bottom style="thin">
        <x:color rgb="FFC9B458"/>
      </x:bottom>
    </x:border>
    <x:border>
      <x:left style="thin">
        <x:color rgb="FF17365D"/>
      </x:left>
      <x:top style="thin">
        <x:color rgb="FF17365D"/>
      </x:top>
      <x:bottom style="thin">
        <x:color rgb="FF17365D"/>
      </x:bottom>
    </x:border>
    <x:border>
      <x:right style="thin">
        <x:color rgb="FF17365D"/>
      </x:right>
      <x:top style="thin">
        <x:color rgb="FF17365D"/>
      </x:top>
      <x:bottom style="thin">
        <x:color rgb="FF17365D"/>
      </x:bottom>
    </x:border>
    <x:border>
      <x:left style="thin">
        <x:color rgb="FFD9E2F3"/>
      </x:left>
      <x:right style="thin">
        <x:color rgb="FFD9E2F3"/>
      </x:right>
      <x:top style="thin">
        <x:color rgb="FFD9E2F3"/>
      </x:top>
      <x:bottom style="thin">
        <x:color rgb="FFD9E2F3"/>
      </x:bottom>
    </x:border>
    <x:border>
      <x:top style="thin">
        <x:color rgb="FF17365D"/>
      </x:top>
      <x:bottom style="thin">
        <x:color rgb="FF17365D"/>
      </x:bottom>
    </x:border>
  </x:borders>
  <x:cellStyleXfs count="1">
    <x:xf numFmtId="0" fontId="0" fillId="0" borderId="0"/>
  </x:cellStyleXfs>
  <x:cellXfs count="8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4"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4" xfId="0" applyNumberFormat="1" applyFont="1" applyFill="1" applyBorder="1" applyAlignment="1">
      <x:alignment vertical="center" wrapText="1"/>
    </x:xf>
    <x:xf numFmtId="0" fontId="1" fillId="5" borderId="5" xfId="0" applyNumberFormat="1" applyFont="1" applyFill="1" applyBorder="1" applyAlignment="1">
      <x:alignment vertical="center" wrapText="1"/>
    </x:xf>
    <x:xf numFmtId="0" fontId="1" fillId="5" borderId="6" xfId="0" applyNumberFormat="1" applyFont="1" applyFill="1" applyBorder="1" applyAlignment="1">
      <x:alignment vertical="center" wrapText="1"/>
    </x:xf>
    <x:xf numFmtId="0" fontId="0" fillId="0" borderId="6" xfId="0" applyNumberFormat="1" applyFont="1" applyFill="1" applyBorder="1"/>
    <x:xf numFmtId="0" fontId="1" fillId="5" borderId="7" xfId="0" applyNumberFormat="1" applyFont="1" applyFill="1" applyBorder="1"/>
    <x:xf numFmtId="0" fontId="1" fillId="5" borderId="7" xfId="0" applyNumberFormat="1" applyFont="1" applyFill="1" applyBorder="1" applyAlignment="1">
      <x:alignment wrapText="1"/>
    </x:xf>
    <x:xf numFmtId="0" fontId="1" fillId="5" borderId="7" xfId="0" applyNumberFormat="1" applyFont="1" applyFill="1" applyBorder="1" applyAlignment="1">
      <x:alignment vertical="center" wrapText="1"/>
    </x:xf>
    <x:xf numFmtId="0" fontId="1" fillId="5" borderId="6" xfId="0" applyNumberFormat="1" applyFont="1" applyFill="1" applyBorder="1" applyAlignment="1">
      <x:alignment horizontal="center" vertical="center" wrapText="1"/>
    </x:xf>
    <x:xf numFmtId="0" fontId="0" fillId="0" borderId="6" xfId="0" applyNumberFormat="1" applyFont="1" applyFill="1" applyBorder="1" applyAlignment="1">
      <x:alignment horizontal="center"/>
    </x:xf>
    <x:xf numFmtId="0" fontId="1" fillId="2"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1" fillId="5" borderId="6" xfId="0" applyNumberFormat="1" applyFont="1" applyFill="1" applyBorder="1" applyAlignment="1">
      <x:alignment horizontal="center" vertical="top" wrapText="1"/>
    </x:xf>
    <x:xf numFmtId="0" fontId="1" fillId="5" borderId="6" xfId="0" applyNumberFormat="1" applyFont="1" applyFill="1" applyBorder="1" applyAlignment="1">
      <x:alignment vertical="top" wrapText="1"/>
    </x:xf>
    <x:xf numFmtId="0" fontId="0" fillId="0" borderId="6" xfId="0" applyNumberFormat="1" applyFont="1" applyFill="1" applyBorder="1" applyAlignment="1">
      <x:alignment horizontal="center" vertical="top"/>
    </x:xf>
    <x:xf numFmtId="0" fontId="0" fillId="0" borderId="6" xfId="0" applyNumberFormat="1" applyFont="1" applyFill="1" applyBorder="1" applyAlignment="1">
      <x:alignment vertical="top"/>
    </x:xf>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3" fillId="3" borderId="6" xfId="0" applyNumberFormat="1" applyFont="1" applyFill="1" applyBorder="1" applyAlignment="1">
      <x:alignment wrapText="1"/>
    </x:xf>
    <x:xf numFmtId="0" fontId="3" fillId="6" borderId="6" xfId="0" applyNumberFormat="1" applyFont="1" applyFill="1" applyBorder="1"/>
    <x:xf numFmtId="0" fontId="2" fillId="6" borderId="6" xfId="0" applyNumberFormat="1" applyFont="1" applyFill="1" applyBorder="1" applyAlignment="1">
      <x:alignment wrapText="1"/>
    </x:xf>
    <x:xf numFmtId="0" fontId="0" fillId="4" borderId="6" xfId="0" applyNumberFormat="1" applyFont="1" applyFill="1" applyBorder="1" applyAlignment="1">
      <x:alignment wrapText="1"/>
    </x:xf>
    <x:xf numFmtId="200" fontId="0" fillId="4" borderId="6" xfId="0" applyNumberFormat="1" applyFont="1" applyFill="1" applyBorder="1" applyAlignment="1">
      <x:alignment wrapText="1"/>
    </x:xf>
    <x:xf numFmtId="0" fontId="0" fillId="4" borderId="6" xfId="0" applyNumberFormat="1" applyFont="1" applyFill="1" applyBorder="1"/>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201" fontId="0" fillId="7" borderId="0" xfId="0" applyNumberFormat="1" applyFont="1" applyFill="1" applyBorder="1"/>
    <x:xf numFmtId="0" fontId="0" fillId="7" borderId="0" xfId="0" applyNumberFormat="1" applyFont="1" applyFill="1" applyBorder="1"/>
    <x:xf numFmtId="201" fontId="3" fillId="7" borderId="0" xfId="0" applyNumberFormat="1" applyFont="1" applyFill="1" applyBorder="1"/>
    <x:xf numFmtId="0" fontId="3" fillId="7" borderId="0" xfId="0" applyNumberFormat="1" applyFont="1" applyFill="1" applyBorder="1"/>
    <x:xf numFmtId="0" fontId="3" fillId="3" borderId="6" xfId="0" applyNumberFormat="1" applyFont="1" applyFill="1" applyBorder="1"/>
    <x:xf numFmtId="201" fontId="0" fillId="0" borderId="6" xfId="0" applyNumberFormat="1" applyFont="1" applyFill="1" applyBorder="1"/>
    <x:xf numFmtId="201" fontId="3" fillId="7" borderId="6" xfId="0" applyNumberFormat="1" applyFont="1" applyFill="1" applyBorder="1"/>
    <x:xf numFmtId="0" fontId="3" fillId="7" borderId="6" xfId="0" applyNumberFormat="1" applyFont="1" applyFill="1" applyBorder="1"/>
    <x:xf numFmtId="202" fontId="0" fillId="0" borderId="6" xfId="0" applyNumberFormat="1" applyFont="1" applyFill="1" applyBorder="1"/>
    <x:xf numFmtId="200" fontId="0" fillId="4" borderId="6" xfId="0" applyNumberFormat="1" applyFont="1" applyFill="1" applyBorder="1"/>
    <x:xf numFmtId="200" fontId="0" fillId="4"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6" borderId="0" xfId="0" applyNumberFormat="1" applyFont="1" applyFill="1" applyBorder="1"/>
    <x:xf numFmtId="201" fontId="0" fillId="4" borderId="0" xfId="0" applyNumberFormat="1" applyFont="1" applyFill="1" applyBorder="1"/>
    <x:xf numFmtId="203" fontId="0" fillId="4" borderId="0" xfId="0" applyNumberFormat="1" applyFont="1" applyFill="1" applyBorder="1"/>
    <x:xf numFmtId="201" fontId="0" fillId="4" borderId="6" xfId="0" applyNumberFormat="1" applyFont="1" applyFill="1" applyBorder="1"/>
    <x:xf numFmtId="203" fontId="0" fillId="4" borderId="6" xfId="0" applyNumberFormat="1" applyFont="1" applyFill="1" applyBorder="1"/>
    <x:xf numFmtId="0" fontId="5" fillId="6" borderId="6" xfId="0" applyNumberFormat="1" applyFont="1" applyFill="1" applyBorder="1"/>
    <x:xf numFmtId="200" fontId="0" fillId="6" borderId="0" xfId="0" applyNumberFormat="1" applyFont="1" applyFill="1" applyBorder="1"/>
    <x:xf numFmtId="201" fontId="0" fillId="6" borderId="0" xfId="0" applyNumberFormat="1" applyFont="1" applyFill="1" applyBorder="1"/>
    <x:xf numFmtId="203" fontId="0" fillId="6" borderId="0" xfId="0" applyNumberFormat="1" applyFont="1" applyFill="1" applyBorder="1"/>
    <x:xf numFmtId="200" fontId="5" fillId="6" borderId="0" xfId="0" applyNumberFormat="1" applyFont="1" applyFill="1" applyBorder="1"/>
    <x:xf numFmtId="201" fontId="5" fillId="6" borderId="0" xfId="0" applyNumberFormat="1" applyFont="1" applyFill="1" applyBorder="1"/>
    <x:xf numFmtId="203" fontId="5" fillId="6" borderId="0" xfId="0" applyNumberFormat="1" applyFont="1" applyFill="1" applyBorder="1"/>
    <x:xf numFmtId="0" fontId="5" fillId="6" borderId="0" xfId="0" applyNumberFormat="1" applyFont="1" applyFill="1" applyBorder="1" applyAlignment="1">
      <x:alignment wrapText="1"/>
    </x:xf>
    <x:xf numFmtId="200" fontId="5" fillId="6" borderId="0" xfId="0" applyNumberFormat="1" applyFont="1" applyFill="1" applyBorder="1" applyAlignment="1">
      <x:alignment wrapText="1"/>
    </x:xf>
    <x:xf numFmtId="201" fontId="5" fillId="6" borderId="0" xfId="0" applyNumberFormat="1" applyFont="1" applyFill="1" applyBorder="1" applyAlignment="1">
      <x:alignment wrapText="1"/>
    </x:xf>
    <x:xf numFmtId="203" fontId="5" fillId="6" borderId="0" xfId="0" applyNumberFormat="1" applyFont="1" applyFill="1" applyBorder="1" applyAlignment="1">
      <x:alignment wrapText="1"/>
    </x:xf>
  </x:cellXfs>
  <x:cellStyles count="1">
    <x:cellStyle name="Normal" xfId="0"/>
  </x:cellStyles>
  <x:dxfs count="19">
    <x:dxf>
      <x:fill>
        <x:patternFill patternType="solid">
          <x:bgColor rgb="FFE2F0D9"/>
        </x:patternFill>
      </x:fill>
    </x:dxf>
    <x:dxf>
      <x:fill>
        <x:patternFill patternType="solid">
          <x:bgColor rgb="FFFCE4D6"/>
        </x:patternFill>
      </x:fill>
    </x:dxf>
    <x:dxf>
      <x:fill>
        <x:patternFill patternType="solid">
          <x:bgColor rgb="FFFFF2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E2F0D9"/>
        </x:patternFill>
      </x:fill>
    </x:dxf>
    <x:dxf>
      <x:fill>
        <x:patternFill patternType="solid">
          <x:bgColor rgb="FFFFF2CC"/>
        </x:patternFill>
      </x:fill>
    </x:dxf>
    <x:dxf>
      <x:font>
        <x:b/>
      </x:font>
      <x:fill>
        <x:patternFill patternType="solid">
          <x:bgColor rgb="FFE2F0D9"/>
        </x:patternFill>
      </x:fill>
    </x:dxf>
    <x:dxf>
      <x:font>
        <x:b/>
      </x:font>
      <x:fill>
        <x:patternFill patternType="solid">
          <x:bgColor rgb="FFFFF2CC"/>
        </x:patternFill>
      </x:fill>
    </x:dxf>
    <x:dxf>
      <x:font>
        <x:b/>
      </x:font>
      <x:fill>
        <x:patternFill patternType="solid">
          <x:bgColor rgb="FFFCE4D6"/>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E2F0D9"/>
        </x:patternFill>
      </x:fill>
    </x:dxf>
    <x:dxf>
      <x:font>
        <x:b/>
      </x:font>
      <x:fill>
        <x:patternFill patternType="solid">
          <x:bgColor rgb="FFFCE4D6"/>
        </x:patternFill>
      </x:fill>
    </x:dxf>
    <x:dxf>
      <x:font>
        <x:b/>
      </x:font>
      <x:fill>
        <x:patternFill patternType="solid">
          <x:bgColor rgb="FFFCE4D6"/>
        </x:patternFill>
      </x:fill>
    </x:dxf>
    <x:dxf>
      <x:font>
        <x:b/>
      </x:font>
      <x:fill>
        <x:patternFill patternType="solid">
          <x:bgColor rgb="FFFCE4D6"/>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0c62a3ba094976" /><Relationship Type="http://schemas.openxmlformats.org/officeDocument/2006/relationships/theme" Target="/xl/theme/theme1.xml" Id="R275ad40bfeb24422" /><Relationship Type="http://schemas.openxmlformats.org/officeDocument/2006/relationships/sharedStrings" Target="/xl/sharedStrings.xml" Id="R2ab6012dfea14581" /><Relationship Type="http://schemas.openxmlformats.org/officeDocument/2006/relationships/worksheet" Target="/xl/worksheets/sheet1.xml" Id="Ra439bbb9c9c34379" /><Relationship Type="http://schemas.openxmlformats.org/officeDocument/2006/relationships/worksheet" Target="/xl/worksheets/sheet2.xml" Id="R0967d8e795d44686" /><Relationship Type="http://schemas.openxmlformats.org/officeDocument/2006/relationships/worksheet" Target="/xl/worksheets/sheet3.xml" Id="R2a187dfdd83a47cb" /><Relationship Type="http://schemas.openxmlformats.org/officeDocument/2006/relationships/worksheet" Target="/xl/worksheets/sheet4.xml" Id="Rf0af44f973044c53" /><Relationship Type="http://schemas.openxmlformats.org/officeDocument/2006/relationships/worksheet" Target="/xl/worksheets/sheet5.xml" Id="Re9ec19dc4c1143c7" /><Relationship Type="http://schemas.openxmlformats.org/officeDocument/2006/relationships/worksheet" Target="/xl/worksheets/sheet6.xml" Id="Rfd26c30a3cc24f25" /><Relationship Type="http://schemas.openxmlformats.org/officeDocument/2006/relationships/worksheet" Target="/xl/worksheets/sheet7.xml" Id="R46239e548f6440f8" /><Relationship Type="http://schemas.openxmlformats.org/officeDocument/2006/relationships/worksheet" Target="/xl/worksheets/sheet8.xml" Id="Rb8fbb0780cdc4931" /><Relationship Type="http://schemas.openxmlformats.org/officeDocument/2006/relationships/worksheet" Target="/xl/worksheets/sheet9.xml" Id="Rd303fcafb40744fa" /><Relationship Type="http://schemas.openxmlformats.org/officeDocument/2006/relationships/worksheet" Target="/xl/worksheets/sheet10.xml" Id="Rf154bde5eec84ff7" /><Relationship Type="http://schemas.openxmlformats.org/officeDocument/2006/relationships/worksheet" Target="/xl/worksheets/sheet11.xml" Id="Re5258eaa60ff4043" /><Relationship Type="http://schemas.openxmlformats.org/officeDocument/2006/relationships/worksheet" Target="/xl/worksheets/sheet12.xml" Id="R1b08452848c24895" /><Relationship Type="http://schemas.microsoft.com/office/2017/10/relationships/person" Target="/xl/persons/person.xml" Id="R8ba57512d8cd4ccd" /></Relationships>
</file>

<file path=xl/persons/person.xml><?xml version="1.0" encoding="utf-8"?>
<xltc:personList xmlns:xltc="http://schemas.microsoft.com/office/spreadsheetml/2018/threadedcomments">
  <xltc:person displayName="Ted Tschopp" id="{D34CDC7E-1A89-4E31-894B-B881208DC9F4}"/>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O4" dT="2026-08-09T20:23:00.447" personId="{D34CDC7E-1A89-4E31-894B-B881208DC9F4}" id="{AAE43180-F1BD-E5B8-72B1-F1A2430A0525}">
    <xltc:text>For N/A, this ID must resolve to an Active N/A determination on the Exceptions sheet; list the affected control IDs in that decision record.</xltc:text>
  </xltc:threadedComment>
</xltc:ThreadedComments>
</file>

<file path=xl/threadedcomments/threadedcomment2.xml><?xml version="1.0" encoding="utf-8"?>
<xltc:ThreadedComments xmlns:xltc="http://schemas.microsoft.com/office/spreadsheetml/2018/threadedcomments">
  <xltc:threadedComment ref="B5" dT="2026-08-09T20:23:01.803" personId="{D34CDC7E-1A89-4E31-894B-B881208DC9F4}" id="{8F43AD92-235E-0F02-8E18-DE78A06178E8}">
    <xltc:text>Raw score is earned applicable points divided by maximum applicable points. N/A and below-tier controls are excluded.</xltc:text>
  </xltc:threadedComment>
  <xltc:threadedComment ref="B7" dT="2026-08-09T20:23:01.803" personId="{D34CDC7E-1A89-4E31-894B-B881208DC9F4}" id="{35BDD569-11DC-F5ED-C439-03B11F0592C5}">
    <xltc:text>Final score equals the raw score unless any foundational gate fails or is Unknown; the cap is then 69 / D / M1 — Developing.</xltc:text>
  </xltc:threadedComment>
</xltc:ThreadedComments>
</file>

<file path=xl/threadedcomments/threadedcomment3.xml><?xml version="1.0" encoding="utf-8"?>
<xltc:ThreadedComments xmlns:xltc="http://schemas.microsoft.com/office/spreadsheetml/2018/threadedcomments">
  <xltc:threadedComment ref="F4" dT="2026-08-09T20:23:45.447" personId="{D34CDC7E-1A89-4E31-894B-B881208DC9F4}" id="{1F585332-92E5-3753-F81C-35464AB1F6BE}">
    <xltc:text>Pilot-lead-only opaque code. Keep the stratum-to-expectation key outside assessor materials until both independent assessments are locked.</xltc:text>
  </xltc:threadedComment>
</xltc:ThreadedComments>
</file>

<file path=xl/worksheets/_rels/sheet5.xml.rels>&#65279;<?xml version="1.0" encoding="utf-8"?><Relationships xmlns="http://schemas.openxmlformats.org/package/2006/relationships"><Relationship Type="http://schemas.openxmlformats.org/officeDocument/2006/relationships/comments" Target="/xl/comments1.xml" Id="Rac51d4cbf84a47ee" /><Relationship Type="http://schemas.openxmlformats.org/officeDocument/2006/relationships/vmlDrawing" Target="/xl/drawings/vmldrawing.vml" Id="R6c4ddafd4d7a412c" /><Relationship Type="http://schemas.microsoft.com/office/2017/10/relationships/threadedComment" Target="/xl/threadedcomments/threadedcomment.xml" Id="R1348f78d0efa490d" /></Relationships>
</file>

<file path=xl/worksheets/_rels/sheet6.xml.rels>&#65279;<?xml version="1.0" encoding="utf-8"?><Relationships xmlns="http://schemas.openxmlformats.org/package/2006/relationships"><Relationship Type="http://schemas.openxmlformats.org/officeDocument/2006/relationships/comments" Target="/xl/comments2.xml" Id="Rfac91ac21f734d27" /><Relationship Type="http://schemas.openxmlformats.org/officeDocument/2006/relationships/vmlDrawing" Target="/xl/drawings/vmldrawing2.vml" Id="Re9d97fb2f9d04977" /><Relationship Type="http://schemas.microsoft.com/office/2017/10/relationships/threadedComment" Target="/xl/threadedcomments/threadedcomment2.xml" Id="R2bf947c2c1c04adb" /></Relationships>
</file>

<file path=xl/worksheets/_rels/sheet11.xml.rels>&#65279;<?xml version="1.0" encoding="utf-8"?><Relationships xmlns="http://schemas.openxmlformats.org/package/2006/relationships"><Relationship Type="http://schemas.openxmlformats.org/officeDocument/2006/relationships/comments" Target="/xl/comments3.xml" Id="Rb5ffbfba69f6401b" /><Relationship Type="http://schemas.openxmlformats.org/officeDocument/2006/relationships/vmlDrawing" Target="/xl/drawings/vmldrawing3.vml" Id="Ree14ed838bd6493d" /><Relationship Type="http://schemas.microsoft.com/office/2017/10/relationships/threadedComment" Target="/xl/threadedcomments/threadedcomment3.xml" Id="R7887e6059e6f47d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28" customHeight="1">
      <x:c r="A1" s="31" t="str">
        <x:v>Git Repository Health Assessment Workbook</x:v>
      </x:c>
      <x:c r="B1" s="31" t="str">
        <x:v>Git Repository Health Assessment Workbook</x:v>
      </x:c>
      <x:c r="C1" s="31" t="str">
        <x:v>Git Repository Health Assessment Workbook</x:v>
      </x:c>
      <x:c r="D1" s="31" t="str">
        <x:v>Git Repository Health Assessment Workbook</x:v>
      </x:c>
      <x:c r="E1" s="31" t="str">
        <x:v>Git Repository Health Assessment Workbook</x:v>
      </x:c>
      <x:c r="F1" s="31" t="str">
        <x:v>Git Repository Health Assessment Workbook</x:v>
      </x:c>
      <x:c r="G1" s="31" t="str">
        <x:v>Git Repository Health Assessment Workbook</x:v>
      </x:c>
      <x:c r="H1" s="31" t="str">
        <x:v>Git Repository Health Assessment Workbook</x:v>
      </x:c>
    </x:row>
    <x:row r="2" ht="30" customHeight="1">
      <x:c r="A2" s="32" t="str">
        <x:v>Standard 0.1.0-draft | Improvement diagnostic | Not a compliance certification or release gate</x:v>
      </x:c>
      <x:c r="B2" s="32" t="str">
        <x:v>Standard 0.1.0-draft | Improvement diagnostic | Not a compliance certification or release gate</x:v>
      </x:c>
      <x:c r="C2" s="32" t="str">
        <x:v>Standard 0.1.0-draft | Improvement diagnostic | Not a compliance certification or release gate</x:v>
      </x:c>
      <x:c r="D2" s="32" t="str">
        <x:v>Standard 0.1.0-draft | Improvement diagnostic | Not a compliance certification or release gate</x:v>
      </x:c>
      <x:c r="E2" s="32" t="str">
        <x:v>Standard 0.1.0-draft | Improvement diagnostic | Not a compliance certification or release gate</x:v>
      </x:c>
      <x:c r="F2" s="32" t="str">
        <x:v>Standard 0.1.0-draft | Improvement diagnostic | Not a compliance certification or release gate</x:v>
      </x:c>
      <x:c r="G2" s="32" t="str">
        <x:v>Standard 0.1.0-draft | Improvement diagnostic | Not a compliance certification or release gate</x:v>
      </x:c>
      <x:c r="H2" s="32" t="str">
        <x:v>Standard 0.1.0-draft | Improvement diagnostic | Not a compliance certification or release gate</x:v>
      </x:c>
    </x:row>
    <x:row r="3">
      <x:c r="A3" s="33"/>
      <x:c r="B3" s="33"/>
      <x:c r="C3" s="33"/>
      <x:c r="D3" s="33"/>
      <x:c r="E3" s="33"/>
      <x:c r="F3" s="33"/>
      <x:c r="G3" s="33"/>
      <x:c r="H3" s="33"/>
    </x:row>
    <x:row r="4" ht="42" customHeight="1">
      <x:c r="A4" s="34" t="str">
        <x:v>Use one copy per repository or coherent deployable-unit assessment. Complete the sheets in order and retain precise evidence references rather than sensitive evidence copies.</x:v>
      </x:c>
      <x:c r="B4" s="35"/>
      <x:c r="C4" s="35"/>
      <x:c r="D4" s="35"/>
      <x:c r="E4" s="35"/>
      <x:c r="F4" s="35"/>
      <x:c r="G4" s="35"/>
      <x:c r="H4" s="36"/>
    </x:row>
    <x:row r="5">
      <x:c r="A5" s="33"/>
      <x:c r="B5" s="33"/>
      <x:c r="C5" s="33"/>
      <x:c r="D5" s="33"/>
      <x:c r="E5" s="33"/>
      <x:c r="F5" s="33"/>
      <x:c r="G5" s="33"/>
      <x:c r="H5" s="33"/>
    </x:row>
    <x:row r="6" ht="30" customHeight="1">
      <x:c r="A6" s="37" t="str">
        <x:v>Step</x:v>
      </x:c>
      <x:c r="B6" s="38" t="str">
        <x:v>Action</x:v>
      </x:c>
      <x:c r="C6" s="33"/>
      <x:c r="D6" s="33"/>
      <x:c r="E6" s="33"/>
      <x:c r="F6" s="33"/>
      <x:c r="G6" s="33"/>
      <x:c r="H6" s="33"/>
    </x:row>
    <x:row r="7">
      <x:c r="A7" s="39" t="n">
        <x:v>1</x:v>
      </x:c>
      <x:c r="B7" s="40" t="str">
        <x:v>Profile and Units: identify the repository, owner, type, risk tier, Main-role ref, each deployable or published unit, and assessment boundaries.</x:v>
      </x:c>
      <x:c r="C7" s="33"/>
      <x:c r="D7" s="33"/>
      <x:c r="E7" s="33"/>
      <x:c r="F7" s="33"/>
      <x:c r="G7" s="33"/>
      <x:c r="H7" s="33"/>
    </x:row>
    <x:row r="8">
      <x:c r="A8" s="39" t="n">
        <x:v>2</x:v>
      </x:c>
      <x:c r="B8" s="40" t="str">
        <x:v>Methodology: record declared and observed workflow axes, contradictions, and confidence.</x:v>
      </x:c>
      <x:c r="C8" s="33"/>
      <x:c r="D8" s="33"/>
      <x:c r="E8" s="33"/>
      <x:c r="F8" s="33"/>
      <x:c r="G8" s="33"/>
      <x:c r="H8" s="33"/>
    </x:row>
    <x:row r="9">
      <x:c r="A9" s="39" t="n">
        <x:v>3</x:v>
      </x:c>
      <x:c r="B9" s="40" t="str">
        <x:v>Evidence: inventory Git, CI, artifact, deployment, security, operations, and documentary evidence.</x:v>
      </x:c>
      <x:c r="C9" s="33"/>
      <x:c r="D9" s="33"/>
      <x:c r="E9" s="33"/>
      <x:c r="F9" s="33"/>
      <x:c r="G9" s="33"/>
      <x:c r="H9" s="33"/>
    </x:row>
    <x:row r="10">
      <x:c r="A10" s="39" t="n">
        <x:v>4</x:v>
      </x:c>
      <x:c r="B10" s="40" t="str">
        <x:v>Controls: assess every applicable row. Unknown never passes. Explain every N/A.</x:v>
      </x:c>
      <x:c r="C10" s="33"/>
      <x:c r="D10" s="33"/>
      <x:c r="E10" s="33"/>
      <x:c r="F10" s="33"/>
      <x:c r="G10" s="33"/>
      <x:c r="H10" s="33"/>
    </x:row>
    <x:row r="11">
      <x:c r="A11" s="39" t="n">
        <x:v>5</x:v>
      </x:c>
      <x:c r="B11" s="40" t="str">
        <x:v>Scorecard: review raw score, gate cap, final grade, dimensions, and evidence assurance.</x:v>
      </x:c>
      <x:c r="C11" s="33"/>
      <x:c r="D11" s="33"/>
      <x:c r="E11" s="33"/>
      <x:c r="F11" s="33"/>
      <x:c r="G11" s="33"/>
      <x:c r="H11" s="33"/>
    </x:row>
    <x:row r="12">
      <x:c r="A12" s="39" t="n">
        <x:v>6</x:v>
      </x:c>
      <x:c r="B12" s="40" t="str">
        <x:v>Findings and Exceptions: record improvement actions, equivalent controls, and temporary waivers.</x:v>
      </x:c>
      <x:c r="C12" s="33"/>
      <x:c r="D12" s="33"/>
      <x:c r="E12" s="33"/>
      <x:c r="F12" s="33"/>
      <x:c r="G12" s="33"/>
      <x:c r="H12" s="33"/>
    </x:row>
    <x:row r="13">
      <x:c r="A13" s="39" t="n">
        <x:v>7</x:v>
      </x:c>
      <x:c r="B13" s="40" t="str">
        <x:v>DORA Outcomes: report service-level trends separately; these values do not change the health score.</x:v>
      </x:c>
      <x:c r="C13" s="33"/>
      <x:c r="D13" s="33"/>
      <x:c r="E13" s="33"/>
      <x:c r="F13" s="33"/>
      <x:c r="G13" s="33"/>
      <x:c r="H13" s="33"/>
    </x:row>
    <x:row r="14">
      <x:c r="A14" s="39" t="n">
        <x:v>8</x:v>
      </x:c>
      <x:c r="B14" s="40" t="str">
        <x:v>Pilot Register: use only for the approved 12-repository calibration pilot.</x:v>
      </x:c>
      <x:c r="C14" s="33"/>
      <x:c r="D14" s="33"/>
      <x:c r="E14" s="33"/>
      <x:c r="F14" s="33"/>
      <x:c r="G14" s="33"/>
      <x:c r="H14" s="33"/>
    </x:row>
    <x:row r="15">
      <x:c r="A15" s="33"/>
      <x:c r="B15" s="33"/>
      <x:c r="C15" s="33"/>
      <x:c r="D15" s="33"/>
      <x:c r="E15" s="33"/>
      <x:c r="F15" s="33"/>
      <x:c r="G15" s="33"/>
      <x:c r="H15" s="33"/>
    </x:row>
    <x:row r="16">
      <x:c r="A16" s="31" t="str">
        <x:v>Foundational gates</x:v>
      </x:c>
      <x:c r="B16" s="31"/>
      <x:c r="C16" s="31"/>
      <x:c r="D16" s="31"/>
      <x:c r="E16" s="31"/>
      <x:c r="F16" s="31"/>
      <x:c r="G16" s="31"/>
      <x:c r="H16" s="31"/>
    </x:row>
    <x:row r="17" ht="30" customHeight="1">
      <x:c r="A17" s="38" t="str">
        <x:v>Gate</x:v>
      </x:c>
      <x:c r="B17" s="38" t="str">
        <x:v>Outcome</x:v>
      </x:c>
      <x:c r="C17" s="38"/>
      <x:c r="D17" s="38"/>
      <x:c r="E17" s="38"/>
      <x:c r="F17" s="38"/>
      <x:c r="G17" s="38" t="str">
        <x:v>Failure effect</x:v>
      </x:c>
      <x:c r="H17" s="38"/>
    </x:row>
    <x:row r="18">
      <x:c r="A18" s="40" t="str">
        <x:v>G-01</x:v>
      </x:c>
      <x:c r="B18" s="40" t="str">
        <x:v>Main is buildable, validated, and releasable for repository type.</x:v>
      </x:c>
      <x:c r="C18" s="40"/>
      <x:c r="D18" s="40"/>
      <x:c r="E18" s="40"/>
      <x:c r="F18" s="40"/>
      <x:c r="G18" s="40" t="str">
        <x:v>Cap at 69 / D / M1 — Developing</x:v>
      </x:c>
      <x:c r="H18" s="40"/>
    </x:row>
    <x:row r="19">
      <x:c r="A19" s="40" t="str">
        <x:v>G-02</x:v>
      </x:c>
      <x:c r="B19" s="40" t="str">
        <x:v>Production or published state maps to an immutable revision reachable from Main.</x:v>
      </x:c>
      <x:c r="C19" s="40"/>
      <x:c r="D19" s="40"/>
      <x:c r="E19" s="40"/>
      <x:c r="F19" s="40"/>
      <x:c r="G19" s="40" t="str">
        <x:v>Cap at 69 / D / M1 — Developing</x:v>
      </x:c>
      <x:c r="H19" s="40"/>
    </x:row>
    <x:row r="20">
      <x:c r="A20" s="40" t="str">
        <x:v>G-03</x:v>
      </x:c>
      <x:c r="B20" s="40" t="str">
        <x:v>Changes reaching Main use a controlled and auditable path.</x:v>
      </x:c>
      <x:c r="C20" s="40"/>
      <x:c r="D20" s="40"/>
      <x:c r="E20" s="40"/>
      <x:c r="F20" s="40"/>
      <x:c r="G20" s="40" t="str">
        <x:v>Cap at 69 / D / M1 — Developing</x:v>
      </x:c>
      <x:c r="H20" s="40"/>
    </x:row>
    <x:row r="21">
      <x:c r="A21" s="40" t="str">
        <x:v>G-04</x:v>
      </x:c>
      <x:c r="B21" s="40" t="str">
        <x:v>Production-critical refs resist unauthorized change, deletion, and history rewrite.</x:v>
      </x:c>
      <x:c r="C21" s="40"/>
      <x:c r="D21" s="40"/>
      <x:c r="E21" s="40"/>
      <x:c r="F21" s="40"/>
      <x:c r="G21" s="40" t="str">
        <x:v>Cap at 69 / D / M1 — Developing</x:v>
      </x:c>
      <x:c r="H21" s="40"/>
    </x:row>
    <x:row r="22">
      <x:c r="A22" s="33"/>
      <x:c r="B22" s="33"/>
      <x:c r="C22" s="33"/>
      <x:c r="D22" s="33"/>
      <x:c r="E22" s="33"/>
      <x:c r="F22" s="33"/>
      <x:c r="G22" s="33"/>
      <x:c r="H22" s="33"/>
    </x:row>
    <x:row r="23">
      <x:c r="A23" s="31" t="str">
        <x:v>Evidence scale</x:v>
      </x:c>
      <x:c r="B23" s="31"/>
      <x:c r="C23" s="31"/>
      <x:c r="D23" s="31"/>
      <x:c r="E23" s="31"/>
      <x:c r="F23" s="31"/>
      <x:c r="G23" s="31"/>
      <x:c r="H23" s="31"/>
    </x:row>
    <x:row r="24" ht="30" customHeight="1">
      <x:c r="A24" s="38" t="str">
        <x:v>Level</x:v>
      </x:c>
      <x:c r="B24" s="38" t="str">
        <x:v>Name</x:v>
      </x:c>
      <x:c r="C24" s="38" t="str">
        <x:v>Meaning</x:v>
      </x:c>
      <x:c r="D24" s="33"/>
      <x:c r="E24" s="33"/>
      <x:c r="F24" s="33"/>
      <x:c r="G24" s="33"/>
      <x:c r="H24" s="33"/>
    </x:row>
    <x:row r="25">
      <x:c r="A25" s="40" t="str">
        <x:v>E0</x:v>
      </x:c>
      <x:c r="B25" s="40" t="str">
        <x:v>Unknown</x:v>
      </x:c>
      <x:c r="C25" s="40" t="str">
        <x:v>No usable evidence.</x:v>
      </x:c>
      <x:c r="D25" s="33"/>
      <x:c r="E25" s="33"/>
      <x:c r="F25" s="33"/>
      <x:c r="G25" s="33"/>
      <x:c r="H25" s="33"/>
    </x:row>
    <x:row r="26">
      <x:c r="A26" s="40" t="str">
        <x:v>E1</x:v>
      </x:c>
      <x:c r="B26" s="40" t="str">
        <x:v>Declared</x:v>
      </x:c>
      <x:c r="C26" s="40" t="str">
        <x:v>Documentation or attestation states the practice.</x:v>
      </x:c>
      <x:c r="D26" s="33"/>
      <x:c r="E26" s="33"/>
      <x:c r="F26" s="33"/>
      <x:c r="G26" s="33"/>
      <x:c r="H26" s="33"/>
    </x:row>
    <x:row r="27">
      <x:c r="A27" s="40" t="str">
        <x:v>E2</x:v>
      </x:c>
      <x:c r="B27" s="40" t="str">
        <x:v>Configured</x:v>
      </x:c>
      <x:c r="C27" s="40" t="str">
        <x:v>Settings, workflows, or controls exist.</x:v>
      </x:c>
      <x:c r="D27" s="33"/>
      <x:c r="E27" s="33"/>
      <x:c r="F27" s="33"/>
      <x:c r="G27" s="33"/>
      <x:c r="H27" s="33"/>
    </x:row>
    <x:row r="28">
      <x:c r="A28" s="40" t="str">
        <x:v>E3</x:v>
      </x:c>
      <x:c r="B28" s="40" t="str">
        <x:v>Demonstrated</x:v>
      </x:c>
      <x:c r="C28" s="40" t="str">
        <x:v>Recent history shows the practice operating.</x:v>
      </x:c>
      <x:c r="D28" s="33"/>
      <x:c r="E28" s="33"/>
      <x:c r="F28" s="33"/>
      <x:c r="G28" s="33"/>
      <x:c r="H28" s="33"/>
    </x:row>
    <x:row r="29">
      <x:c r="A29" s="40" t="str">
        <x:v>E4</x:v>
      </x:c>
      <x:c r="B29" s="40" t="str">
        <x:v>Sustained effectiveness</x:v>
      </x:c>
      <x:c r="C29" s="40" t="str">
        <x:v>Sustained evidence shows the required result across the defined observation window.</x:v>
      </x:c>
      <x:c r="D29" s="33"/>
      <x:c r="E29" s="33"/>
      <x:c r="F29" s="33"/>
      <x:c r="G29" s="33"/>
      <x:c r="H29" s="33"/>
    </x:row>
    <x:row r="30">
      <x:c r="A30" s="33"/>
      <x:c r="B30" s="33"/>
      <x:c r="C30" s="33"/>
      <x:c r="D30" s="33"/>
      <x:c r="E30" s="33"/>
      <x:c r="F30" s="33"/>
      <x:c r="G30" s="33"/>
      <x:c r="H30" s="33"/>
    </x:row>
    <x:row r="31" ht="30" customHeight="1">
      <x:c r="A31" s="38" t="str">
        <x:v>Reference</x:v>
      </x:c>
      <x:c r="B31" s="38" t="str">
        <x:v>Location</x:v>
      </x:c>
      <x:c r="C31" s="38"/>
      <x:c r="D31" s="38"/>
      <x:c r="E31" s="38"/>
      <x:c r="F31" s="38"/>
      <x:c r="G31" s="38"/>
      <x:c r="H31" s="38"/>
    </x:row>
    <x:row r="32">
      <x:c r="A32" s="40" t="str">
        <x:v>Repository documentation</x:v>
      </x:c>
      <x:c r="B32" s="40" t="str">
        <x:v>README.md and docs/</x:v>
      </x:c>
      <x:c r="C32" s="40"/>
      <x:c r="D32" s="40"/>
      <x:c r="E32" s="40"/>
      <x:c r="F32" s="40"/>
      <x:c r="G32" s="40"/>
      <x:c r="H32" s="40"/>
    </x:row>
    <x:row r="33">
      <x:c r="A33" s="40" t="str">
        <x:v>Assessment guide</x:v>
      </x:c>
      <x:c r="B33" s="40" t="str">
        <x:v>docs/assessment-guide.md</x:v>
      </x:c>
      <x:c r="C33" s="40"/>
      <x:c r="D33" s="40"/>
      <x:c r="E33" s="40"/>
      <x:c r="F33" s="40"/>
      <x:c r="G33" s="40"/>
      <x:c r="H33" s="40"/>
    </x:row>
    <x:row r="34">
      <x:c r="A34" s="40" t="str">
        <x:v>External source register</x:v>
      </x:c>
      <x:c r="B34" s="40" t="str">
        <x:v>docs/source-register.md</x:v>
      </x:c>
      <x:c r="C34" s="40"/>
      <x:c r="D34" s="40"/>
      <x:c r="E34" s="40"/>
      <x:c r="F34" s="40"/>
      <x:c r="G34" s="40"/>
      <x:c r="H34" s="40"/>
    </x:row>
  </x:sheetData>
  <x:mergeCells>
    <x:mergeCell ref="A1:H1"/>
    <x:mergeCell ref="A2:H2"/>
    <x:mergeCell ref="A4:H4"/>
    <x:mergeCell ref="A16:H16"/>
    <x:mergeCell ref="B17:F17"/>
    <x:mergeCell ref="B18:F18"/>
    <x:mergeCell ref="B19:F19"/>
    <x:mergeCell ref="B20:F20"/>
    <x:mergeCell ref="B21:F21"/>
    <x:mergeCell ref="G17:H17"/>
    <x:mergeCell ref="G18:H18"/>
    <x:mergeCell ref="G19:H19"/>
    <x:mergeCell ref="G20:H20"/>
    <x:mergeCell ref="G21:H21"/>
    <x:mergeCell ref="A23:H23"/>
    <x:mergeCell ref="B31:H31"/>
    <x:mergeCell ref="B32:H32"/>
    <x:mergeCell ref="B33:H33"/>
    <x:mergeCell ref="B34:H3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44" hidden="0" customWidth="1"/>
    <x:col min="3" max="3" width="38" hidden="0" customWidth="1"/>
    <x:col min="4" max="4" width="38" hidden="0" customWidth="1"/>
  </x:cols>
  <x:sheetData>
    <x:row r="1" ht="28" customHeight="1">
      <x:c r="A1" s="3" t="str">
        <x:v>Assessment Profile</x:v>
      </x:c>
      <x:c r="B1" s="3" t="str">
        <x:v>Assessment Profile</x:v>
      </x:c>
      <x:c r="C1" s="3" t="str">
        <x:v>Assessment Profile</x:v>
      </x:c>
      <x:c r="D1" s="3" t="str">
        <x:v>Assessment Profile</x:v>
      </x:c>
    </x:row>
    <x:row r="2" ht="30" customHeight="1">
      <x:c r="A2" s="7" t="str">
        <x:v>Define scope before evaluating controls. Yellow cells are assessor inputs.</x:v>
      </x:c>
      <x:c r="B2" s="7" t="str">
        <x:v>Define scope before evaluating controls. Yellow cells are assessor inputs.</x:v>
      </x:c>
      <x:c r="C2" s="7" t="str">
        <x:v>Define scope before evaluating controls. Yellow cells are assessor inputs.</x:v>
      </x:c>
      <x:c r="D2" s="7" t="str">
        <x:v>Define scope before evaluating controls. Yellow cells are assessor inputs.</x:v>
      </x:c>
    </x:row>
    <x:row r="5">
      <x:c r="A5" s="48" t="str">
        <x:v>Standard version</x:v>
      </x:c>
      <x:c r="B5" s="49" t="str">
        <x:v>0.1.0-draft</x:v>
      </x:c>
      <x:c r="C5" s="50" t="str">
        <x:v>Fixed for this workbook</x:v>
      </x:c>
    </x:row>
    <x:row r="6">
      <x:c r="A6" s="48" t="str">
        <x:v>Assessment ID</x:v>
      </x:c>
      <x:c r="B6" s="51" t="str"/>
      <x:c r="C6" s="50" t="str">
        <x:v>Unique local identifier</x:v>
      </x:c>
    </x:row>
    <x:row r="7">
      <x:c r="A7" s="48" t="str">
        <x:v>Repository name</x:v>
      </x:c>
      <x:c r="B7" s="51" t="str"/>
      <x:c r="C7" s="50" t="str">
        <x:v>Human-readable name</x:v>
      </x:c>
    </x:row>
    <x:row r="8">
      <x:c r="A8" s="48" t="str">
        <x:v>Authoritative URL</x:v>
      </x:c>
      <x:c r="B8" s="51" t="str"/>
      <x:c r="C8" s="50" t="str">
        <x:v>Canonical repository location</x:v>
      </x:c>
    </x:row>
    <x:row r="9">
      <x:c r="A9" s="48" t="str">
        <x:v>Repository owner</x:v>
      </x:c>
      <x:c r="B9" s="51" t="str"/>
      <x:c r="C9" s="50" t="str">
        <x:v>Accountable owner</x:v>
      </x:c>
    </x:row>
    <x:row r="10">
      <x:c r="A10" s="48" t="str">
        <x:v>Primary repository type</x:v>
      </x:c>
      <x:c r="B10" s="51" t="str"/>
      <x:c r="C10" s="50" t="str">
        <x:v>Select the closest primary type</x:v>
      </x:c>
    </x:row>
    <x:row r="11">
      <x:c r="A11" s="48" t="str">
        <x:v>Risk tier</x:v>
      </x:c>
      <x:c r="B11" s="51" t="str"/>
      <x:c r="C11" s="50" t="str">
        <x:v>Baseline, Elevated, or Critical</x:v>
      </x:c>
    </x:row>
    <x:row r="12">
      <x:c r="A12" s="48" t="str">
        <x:v>Lifecycle</x:v>
      </x:c>
      <x:c r="B12" s="51" t="str"/>
      <x:c r="C12" s="50" t="str">
        <x:v>Current repository lifecycle</x:v>
      </x:c>
    </x:row>
    <x:row r="13">
      <x:c r="A13" s="48" t="str">
        <x:v>Main-role ref</x:v>
      </x:c>
      <x:c r="B13" s="51" t="str"/>
      <x:c r="C13" s="50" t="str">
        <x:v>Literal branch/ref mapped to Main</x:v>
      </x:c>
    </x:row>
    <x:row r="14">
      <x:c r="A14" s="48" t="str">
        <x:v>Deployable or published units</x:v>
      </x:c>
      <x:c r="B14" s="51" t="str"/>
      <x:c r="C14" s="50" t="str">
        <x:v>Semicolon-separated units or N/A rationale</x:v>
      </x:c>
    </x:row>
    <x:row r="15">
      <x:c r="A15" s="48" t="str">
        <x:v>Declared methodology</x:v>
      </x:c>
      <x:c r="B15" s="51" t="str"/>
      <x:c r="C15" s="50" t="str">
        <x:v>What the repository says it uses</x:v>
      </x:c>
    </x:row>
    <x:row r="16">
      <x:c r="A16" s="48" t="str">
        <x:v>Observed methodology</x:v>
      </x:c>
      <x:c r="B16" s="51" t="str"/>
      <x:c r="C16" s="50" t="str">
        <x:v>What the evidence supports</x:v>
      </x:c>
    </x:row>
    <x:row r="17">
      <x:c r="A17" s="48" t="str">
        <x:v>Methodology confidence</x:v>
      </x:c>
      <x:c r="B17" s="51" t="str"/>
      <x:c r="C17" s="50" t="str">
        <x:v>Confidence in observed classification</x:v>
      </x:c>
    </x:row>
    <x:row r="18" ht="38" customHeight="1">
      <x:c r="A18" s="48" t="str">
        <x:v>Production correspondence</x:v>
      </x:c>
      <x:c r="B18" s="51" t="str"/>
      <x:c r="C18" s="50" t="str">
        <x:v>How current production/published state maps to Main</x:v>
      </x:c>
    </x:row>
    <x:row r="19">
      <x:c r="A19" s="48" t="str">
        <x:v>Assessment date</x:v>
      </x:c>
      <x:c r="B19" s="52" t="str"/>
      <x:c r="C19" s="50" t="str">
        <x:v>yyyy-mm-dd</x:v>
      </x:c>
    </x:row>
    <x:row r="20">
      <x:c r="A20" s="48" t="str">
        <x:v>Evidence cutoff</x:v>
      </x:c>
      <x:c r="B20" s="52" t="str"/>
      <x:c r="C20" s="50" t="str">
        <x:v>Latest included evidence date</x:v>
      </x:c>
    </x:row>
    <x:row r="21">
      <x:c r="A21" s="48" t="str">
        <x:v>Assessor</x:v>
      </x:c>
      <x:c r="B21" s="51" t="str"/>
      <x:c r="C21" s="50" t="str">
        <x:v>Independent assessor</x:v>
      </x:c>
    </x:row>
    <x:row r="22">
      <x:c r="A22" s="48" t="str">
        <x:v>Reviewer</x:v>
      </x:c>
      <x:c r="B22" s="51" t="str"/>
      <x:c r="C22" s="50" t="str">
        <x:v>Independent reviewer</x:v>
      </x:c>
    </x:row>
    <x:row r="23">
      <x:c r="A23" s="48" t="str">
        <x:v>Next review</x:v>
      </x:c>
      <x:c r="B23" s="52" t="str"/>
      <x:c r="C23" s="50" t="str">
        <x:v>Planned reassessment date</x:v>
      </x:c>
    </x:row>
    <x:row r="24" ht="38" customHeight="1">
      <x:c r="A24" s="48" t="str">
        <x:v>Contradictions</x:v>
      </x:c>
      <x:c r="B24" s="51" t="str"/>
      <x:c r="C24" s="50" t="str">
        <x:v>Declared versus observed differences</x:v>
      </x:c>
    </x:row>
    <x:row r="25" ht="38" customHeight="1">
      <x:c r="A25" s="48" t="str">
        <x:v>Scope notes</x:v>
      </x:c>
      <x:c r="B25" s="51" t="str"/>
      <x:c r="C25" s="50" t="str">
        <x:v>Exclusions, limitations, or sensitive evidence handling</x:v>
      </x:c>
    </x:row>
  </x:sheetData>
  <x:mergeCells>
    <x:mergeCell ref="A1:D1"/>
    <x:mergeCell ref="A2:D2"/>
  </x:mergeCells>
  <x:dataValidations count="5">
    <x:dataValidation type="list" sqref="B10">
      <x:formula1>"Deployable application,Library/package,Monorepo,Infrastructure-as-code/GitOps,Data/analytics/model,Documentation/content,Template/scaffold,Sandbox/experimental,Mirror/fork,Archived/retired,Unclassified"</x:formula1>
    </x:dataValidation>
    <x:dataValidation type="list" sqref="B11">
      <x:formula1>"Baseline,Elevated,Critical,Unknown"</x:formula1>
    </x:dataValidation>
    <x:dataValidation type="list" sqref="B12">
      <x:formula1>"Active,Stable-supported,Experimental,Mirrored,Archived,Retired,Unknown"</x:formula1>
    </x:dataValidation>
    <x:dataValidation type="list" sqref="B15:B16">
      <x:formula1>"Trunk-based,GitHub Flow/short-lived feature branches,GitFlow,Environment-branch flow,Release train/multi-version maintenance,GitOps promotion,Fork/integration-manager,Direct gated trunk,Custom/hybrid,Unclassified"</x:formula1>
    </x:dataValidation>
    <x:dataValidation type="list" sqref="B17">
      <x:formula1>"High,Moderate,Low"</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22" hidden="0" customWidth="1"/>
    <x:col min="4" max="4" width="12" hidden="0" customWidth="1"/>
    <x:col min="5" max="5" width="28" hidden="0" customWidth="1"/>
    <x:col min="6" max="6" width="42" hidden="0" customWidth="1"/>
    <x:col min="7" max="7" width="24" hidden="0" customWidth="1"/>
    <x:col min="8" max="8" width="18" hidden="0" customWidth="1"/>
    <x:col min="9" max="9" width="22" hidden="0" customWidth="1"/>
    <x:col min="10" max="10" width="34" hidden="0" customWidth="1"/>
    <x:col min="11" max="11" width="42" hidden="0" customWidth="1"/>
    <x:col min="12" max="12" width="30" hidden="0" customWidth="1"/>
    <x:col min="13" max="13" width="20" hidden="0" customWidth="1"/>
    <x:col min="14" max="14" width="38" hidden="0" customWidth="1"/>
  </x:cols>
  <x:sheetData>
    <x:row r="1" ht="28" customHeight="1">
      <x:c r="A1" s="3" t="str">
        <x:v>Deployable and Published Unit Register</x:v>
      </x:c>
      <x:c r="B1" s="3" t="str">
        <x:v>Deployable and Published Unit Register</x:v>
      </x:c>
      <x:c r="C1" s="3" t="str">
        <x:v>Deployable and Published Unit Register</x:v>
      </x:c>
      <x:c r="D1" s="3" t="str">
        <x:v>Deployable and Published Unit Register</x:v>
      </x:c>
      <x:c r="E1" s="3" t="str">
        <x:v>Deployable and Published Unit Register</x:v>
      </x:c>
      <x:c r="F1" s="3" t="str">
        <x:v>Deployable and Published Unit Register</x:v>
      </x:c>
      <x:c r="G1" s="3" t="str">
        <x:v>Deployable and Published Unit Register</x:v>
      </x:c>
      <x:c r="H1" s="3" t="str">
        <x:v>Deployable and Published Unit Register</x:v>
      </x:c>
      <x:c r="I1" s="3" t="str">
        <x:v>Deployable and Published Unit Register</x:v>
      </x:c>
      <x:c r="J1" s="3" t="str">
        <x:v>Deployable and Published Unit Register</x:v>
      </x:c>
      <x:c r="K1" s="3" t="str">
        <x:v>Deployable and Published Unit Register</x:v>
      </x:c>
      <x:c r="L1" s="3" t="str">
        <x:v>Deployable and Published Unit Register</x:v>
      </x:c>
      <x:c r="M1" s="3" t="str">
        <x:v>Deployable and Published Unit Register</x:v>
      </x:c>
      <x:c r="N1" s="3" t="str">
        <x:v>Deployable and Published Unit Register</x:v>
      </x:c>
    </x:row>
    <x:row r="2" ht="30" customHeight="1">
      <x:c r="A2" s="7" t="str">
        <x:v>Use one row per unit and per current target or variant when progressive or multi-environment production states differ, so no rollout cohort is hidden.</x:v>
      </x:c>
      <x:c r="B2" s="7" t="str">
        <x:v>Use one row per unit and per current target or variant when progressive or multi-environment production states differ, so no rollout cohort is hidden.</x:v>
      </x:c>
      <x:c r="C2" s="7" t="str">
        <x:v>Use one row per unit and per current target or variant when progressive or multi-environment production states differ, so no rollout cohort is hidden.</x:v>
      </x:c>
      <x:c r="D2" s="7" t="str">
        <x:v>Use one row per unit and per current target or variant when progressive or multi-environment production states differ, so no rollout cohort is hidden.</x:v>
      </x:c>
      <x:c r="E2" s="7" t="str">
        <x:v>Use one row per unit and per current target or variant when progressive or multi-environment production states differ, so no rollout cohort is hidden.</x:v>
      </x:c>
      <x:c r="F2" s="7" t="str">
        <x:v>Use one row per unit and per current target or variant when progressive or multi-environment production states differ, so no rollout cohort is hidden.</x:v>
      </x:c>
      <x:c r="G2" s="7" t="str">
        <x:v>Use one row per unit and per current target or variant when progressive or multi-environment production states differ, so no rollout cohort is hidden.</x:v>
      </x:c>
      <x:c r="H2" s="7" t="str">
        <x:v>Use one row per unit and per current target or variant when progressive or multi-environment production states differ, so no rollout cohort is hidden.</x:v>
      </x:c>
      <x:c r="I2" s="7" t="str">
        <x:v>Use one row per unit and per current target or variant when progressive or multi-environment production states differ, so no rollout cohort is hidden.</x:v>
      </x:c>
      <x:c r="J2" s="7" t="str">
        <x:v>Use one row per unit and per current target or variant when progressive or multi-environment production states differ, so no rollout cohort is hidden.</x:v>
      </x:c>
      <x:c r="K2" s="7" t="str">
        <x:v>Use one row per unit and per current target or variant when progressive or multi-environment production states differ, so no rollout cohort is hidden.</x:v>
      </x:c>
      <x:c r="L2" s="7" t="str">
        <x:v>Use one row per unit and per current target or variant when progressive or multi-environment production states differ, so no rollout cohort is hidden.</x:v>
      </x:c>
      <x:c r="M2" s="7" t="str">
        <x:v>Use one row per unit and per current target or variant when progressive or multi-environment production states differ, so no rollout cohort is hidden.</x:v>
      </x:c>
      <x:c r="N2" s="7" t="str">
        <x:v>Use one row per unit and per current target or variant when progressive or multi-environment production states differ, so no rollout cohort is hidden.</x:v>
      </x:c>
    </x:row>
    <x:row r="4" ht="30" customHeight="1">
      <x:c r="A4" s="24" t="str">
        <x:v>Unit ID / name</x:v>
      </x:c>
      <x:c r="B4" s="24" t="str">
        <x:v>Functional repository type</x:v>
      </x:c>
      <x:c r="C4" s="24" t="str">
        <x:v>Owner</x:v>
      </x:c>
      <x:c r="D4" s="24" t="str">
        <x:v>Risk tier</x:v>
      </x:c>
      <x:c r="E4" s="24" t="str">
        <x:v>Output / target</x:v>
      </x:c>
      <x:c r="F4" s="24" t="str">
        <x:v>Current immutable production / published identity</x:v>
      </x:c>
      <x:c r="G4" s="24" t="str">
        <x:v>Source revision</x:v>
      </x:c>
      <x:c r="H4" s="24" t="str">
        <x:v>Main reachability</x:v>
      </x:c>
      <x:c r="I4" s="24" t="str">
        <x:v>Correspondence contract</x:v>
      </x:c>
      <x:c r="J4" s="24" t="str">
        <x:v>Build / validation path</x:v>
      </x:c>
      <x:c r="K4" s="24" t="str">
        <x:v>Rollback / restore / withdrawal / supersession path</x:v>
      </x:c>
      <x:c r="L4" s="24" t="str">
        <x:v>Production-critical refs</x:v>
      </x:c>
      <x:c r="M4" s="24" t="str">
        <x:v>Evidence IDs</x:v>
      </x:c>
      <x:c r="N4" s="24" t="str">
        <x:v>Status / notes</x:v>
      </x:c>
    </x:row>
    <x:row r="5">
      <x:c r="A5" s="53"/>
      <x:c r="B5" s="53"/>
      <x:c r="C5" s="53"/>
      <x:c r="D5" s="53"/>
      <x:c r="E5" s="53"/>
      <x:c r="F5" s="53"/>
      <x:c r="G5" s="53"/>
      <x:c r="H5" s="53"/>
      <x:c r="I5" s="53"/>
      <x:c r="J5" s="53"/>
      <x:c r="K5" s="53"/>
      <x:c r="L5" s="53"/>
      <x:c r="M5" s="53"/>
      <x:c r="N5" s="53"/>
    </x:row>
    <x:row r="6">
      <x:c r="A6" s="53"/>
      <x:c r="B6" s="53"/>
      <x:c r="C6" s="53"/>
      <x:c r="D6" s="53"/>
      <x:c r="E6" s="53"/>
      <x:c r="F6" s="53"/>
      <x:c r="G6" s="53"/>
      <x:c r="H6" s="53"/>
      <x:c r="I6" s="53"/>
      <x:c r="J6" s="53"/>
      <x:c r="K6" s="53"/>
      <x:c r="L6" s="53"/>
      <x:c r="M6" s="53"/>
      <x:c r="N6" s="53"/>
    </x:row>
    <x:row r="7">
      <x:c r="A7" s="53"/>
      <x:c r="B7" s="53"/>
      <x:c r="C7" s="53"/>
      <x:c r="D7" s="53"/>
      <x:c r="E7" s="53"/>
      <x:c r="F7" s="53"/>
      <x:c r="G7" s="53"/>
      <x:c r="H7" s="53"/>
      <x:c r="I7" s="53"/>
      <x:c r="J7" s="53"/>
      <x:c r="K7" s="53"/>
      <x:c r="L7" s="53"/>
      <x:c r="M7" s="53"/>
      <x:c r="N7" s="53"/>
    </x:row>
    <x:row r="8">
      <x:c r="A8" s="53"/>
      <x:c r="B8" s="53"/>
      <x:c r="C8" s="53"/>
      <x:c r="D8" s="53"/>
      <x:c r="E8" s="53"/>
      <x:c r="F8" s="53"/>
      <x:c r="G8" s="53"/>
      <x:c r="H8" s="53"/>
      <x:c r="I8" s="53"/>
      <x:c r="J8" s="53"/>
      <x:c r="K8" s="53"/>
      <x:c r="L8" s="53"/>
      <x:c r="M8" s="53"/>
      <x:c r="N8" s="53"/>
    </x:row>
    <x:row r="9">
      <x:c r="A9" s="53"/>
      <x:c r="B9" s="53"/>
      <x:c r="C9" s="53"/>
      <x:c r="D9" s="53"/>
      <x:c r="E9" s="53"/>
      <x:c r="F9" s="53"/>
      <x:c r="G9" s="53"/>
      <x:c r="H9" s="53"/>
      <x:c r="I9" s="53"/>
      <x:c r="J9" s="53"/>
      <x:c r="K9" s="53"/>
      <x:c r="L9" s="53"/>
      <x:c r="M9" s="53"/>
      <x:c r="N9" s="53"/>
    </x:row>
    <x:row r="10">
      <x:c r="A10" s="53"/>
      <x:c r="B10" s="53"/>
      <x:c r="C10" s="53"/>
      <x:c r="D10" s="53"/>
      <x:c r="E10" s="53"/>
      <x:c r="F10" s="53"/>
      <x:c r="G10" s="53"/>
      <x:c r="H10" s="53"/>
      <x:c r="I10" s="53"/>
      <x:c r="J10" s="53"/>
      <x:c r="K10" s="53"/>
      <x:c r="L10" s="53"/>
      <x:c r="M10" s="53"/>
      <x:c r="N10" s="53"/>
    </x:row>
    <x:row r="11">
      <x:c r="A11" s="53"/>
      <x:c r="B11" s="53"/>
      <x:c r="C11" s="53"/>
      <x:c r="D11" s="53"/>
      <x:c r="E11" s="53"/>
      <x:c r="F11" s="53"/>
      <x:c r="G11" s="53"/>
      <x:c r="H11" s="53"/>
      <x:c r="I11" s="53"/>
      <x:c r="J11" s="53"/>
      <x:c r="K11" s="53"/>
      <x:c r="L11" s="53"/>
      <x:c r="M11" s="53"/>
      <x:c r="N11" s="53"/>
    </x:row>
    <x:row r="12">
      <x:c r="A12" s="53"/>
      <x:c r="B12" s="53"/>
      <x:c r="C12" s="53"/>
      <x:c r="D12" s="53"/>
      <x:c r="E12" s="53"/>
      <x:c r="F12" s="53"/>
      <x:c r="G12" s="53"/>
      <x:c r="H12" s="53"/>
      <x:c r="I12" s="53"/>
      <x:c r="J12" s="53"/>
      <x:c r="K12" s="53"/>
      <x:c r="L12" s="53"/>
      <x:c r="M12" s="53"/>
      <x:c r="N12" s="53"/>
    </x:row>
    <x:row r="13">
      <x:c r="A13" s="53"/>
      <x:c r="B13" s="53"/>
      <x:c r="C13" s="53"/>
      <x:c r="D13" s="53"/>
      <x:c r="E13" s="53"/>
      <x:c r="F13" s="53"/>
      <x:c r="G13" s="53"/>
      <x:c r="H13" s="53"/>
      <x:c r="I13" s="53"/>
      <x:c r="J13" s="53"/>
      <x:c r="K13" s="53"/>
      <x:c r="L13" s="53"/>
      <x:c r="M13" s="53"/>
      <x:c r="N13" s="53"/>
    </x:row>
    <x:row r="14">
      <x:c r="A14" s="53"/>
      <x:c r="B14" s="53"/>
      <x:c r="C14" s="53"/>
      <x:c r="D14" s="53"/>
      <x:c r="E14" s="53"/>
      <x:c r="F14" s="53"/>
      <x:c r="G14" s="53"/>
      <x:c r="H14" s="53"/>
      <x:c r="I14" s="53"/>
      <x:c r="J14" s="53"/>
      <x:c r="K14" s="53"/>
      <x:c r="L14" s="53"/>
      <x:c r="M14" s="53"/>
      <x:c r="N14" s="53"/>
    </x:row>
    <x:row r="15">
      <x:c r="A15" s="53"/>
      <x:c r="B15" s="53"/>
      <x:c r="C15" s="53"/>
      <x:c r="D15" s="53"/>
      <x:c r="E15" s="53"/>
      <x:c r="F15" s="53"/>
      <x:c r="G15" s="53"/>
      <x:c r="H15" s="53"/>
      <x:c r="I15" s="53"/>
      <x:c r="J15" s="53"/>
      <x:c r="K15" s="53"/>
      <x:c r="L15" s="53"/>
      <x:c r="M15" s="53"/>
      <x:c r="N15" s="53"/>
    </x:row>
    <x:row r="16">
      <x:c r="A16" s="53"/>
      <x:c r="B16" s="53"/>
      <x:c r="C16" s="53"/>
      <x:c r="D16" s="53"/>
      <x:c r="E16" s="53"/>
      <x:c r="F16" s="53"/>
      <x:c r="G16" s="53"/>
      <x:c r="H16" s="53"/>
      <x:c r="I16" s="53"/>
      <x:c r="J16" s="53"/>
      <x:c r="K16" s="53"/>
      <x:c r="L16" s="53"/>
      <x:c r="M16" s="53"/>
      <x:c r="N16" s="53"/>
    </x:row>
    <x:row r="17">
      <x:c r="A17" s="53"/>
      <x:c r="B17" s="53"/>
      <x:c r="C17" s="53"/>
      <x:c r="D17" s="53"/>
      <x:c r="E17" s="53"/>
      <x:c r="F17" s="53"/>
      <x:c r="G17" s="53"/>
      <x:c r="H17" s="53"/>
      <x:c r="I17" s="53"/>
      <x:c r="J17" s="53"/>
      <x:c r="K17" s="53"/>
      <x:c r="L17" s="53"/>
      <x:c r="M17" s="53"/>
      <x:c r="N17" s="53"/>
    </x:row>
    <x:row r="18">
      <x:c r="A18" s="53"/>
      <x:c r="B18" s="53"/>
      <x:c r="C18" s="53"/>
      <x:c r="D18" s="53"/>
      <x:c r="E18" s="53"/>
      <x:c r="F18" s="53"/>
      <x:c r="G18" s="53"/>
      <x:c r="H18" s="53"/>
      <x:c r="I18" s="53"/>
      <x:c r="J18" s="53"/>
      <x:c r="K18" s="53"/>
      <x:c r="L18" s="53"/>
      <x:c r="M18" s="53"/>
      <x:c r="N18" s="53"/>
    </x:row>
    <x:row r="19">
      <x:c r="A19" s="8"/>
      <x:c r="B19" s="8"/>
      <x:c r="C19" s="8"/>
      <x:c r="D19" s="8"/>
      <x:c r="E19" s="8"/>
      <x:c r="F19" s="8"/>
      <x:c r="G19" s="8"/>
      <x:c r="H19" s="8"/>
      <x:c r="I19" s="8"/>
      <x:c r="J19" s="8"/>
      <x:c r="K19" s="8"/>
      <x:c r="L19" s="8"/>
      <x:c r="M19" s="8"/>
      <x:c r="N19" s="8"/>
    </x:row>
    <x:row r="20">
      <x:c r="A20" s="8"/>
      <x:c r="B20" s="8"/>
      <x:c r="C20" s="8"/>
      <x:c r="D20" s="8"/>
      <x:c r="E20" s="8"/>
      <x:c r="F20" s="8"/>
      <x:c r="G20" s="8"/>
      <x:c r="H20" s="8"/>
      <x:c r="I20" s="8"/>
      <x:c r="J20" s="8"/>
      <x:c r="K20" s="8"/>
      <x:c r="L20" s="8"/>
      <x:c r="M20" s="8"/>
      <x:c r="N20" s="8"/>
    </x:row>
    <x:row r="21">
      <x:c r="A21" s="8"/>
      <x:c r="B21" s="8"/>
      <x:c r="C21" s="8"/>
      <x:c r="D21" s="8"/>
      <x:c r="E21" s="8"/>
      <x:c r="F21" s="8"/>
      <x:c r="G21" s="8"/>
      <x:c r="H21" s="8"/>
      <x:c r="I21" s="8"/>
      <x:c r="J21" s="8"/>
      <x:c r="K21" s="8"/>
      <x:c r="L21" s="8"/>
      <x:c r="M21" s="8"/>
      <x:c r="N21" s="8"/>
    </x:row>
    <x:row r="22">
      <x:c r="A22" s="8"/>
      <x:c r="B22" s="8"/>
      <x:c r="C22" s="8"/>
      <x:c r="D22" s="8"/>
      <x:c r="E22" s="8"/>
      <x:c r="F22" s="8"/>
      <x:c r="G22" s="8"/>
      <x:c r="H22" s="8"/>
      <x:c r="I22" s="8"/>
      <x:c r="J22" s="8"/>
      <x:c r="K22" s="8"/>
      <x:c r="L22" s="8"/>
      <x:c r="M22" s="8"/>
      <x:c r="N22" s="8"/>
    </x:row>
    <x:row r="23">
      <x:c r="A23" s="8"/>
      <x:c r="B23" s="8"/>
      <x:c r="C23" s="8"/>
      <x:c r="D23" s="8"/>
      <x:c r="E23" s="8"/>
      <x:c r="F23" s="8"/>
      <x:c r="G23" s="8"/>
      <x:c r="H23" s="8"/>
      <x:c r="I23" s="8"/>
      <x:c r="J23" s="8"/>
      <x:c r="K23" s="8"/>
      <x:c r="L23" s="8"/>
      <x:c r="M23" s="8"/>
      <x:c r="N23" s="8"/>
    </x:row>
    <x:row r="24">
      <x:c r="A24" s="8"/>
      <x:c r="B24" s="8"/>
      <x:c r="C24" s="8"/>
      <x:c r="D24" s="8"/>
      <x:c r="E24" s="8"/>
      <x:c r="F24" s="8"/>
      <x:c r="G24" s="8"/>
      <x:c r="H24" s="8"/>
      <x:c r="I24" s="8"/>
      <x:c r="J24" s="8"/>
      <x:c r="K24" s="8"/>
      <x:c r="L24" s="8"/>
      <x:c r="M24" s="8"/>
      <x:c r="N24" s="8"/>
    </x:row>
    <x:row r="25">
      <x:c r="A25" s="8"/>
      <x:c r="B25" s="8"/>
      <x:c r="C25" s="8"/>
      <x:c r="D25" s="8"/>
      <x:c r="E25" s="8"/>
      <x:c r="F25" s="8"/>
      <x:c r="G25" s="8"/>
      <x:c r="H25" s="8"/>
      <x:c r="I25" s="8"/>
      <x:c r="J25" s="8"/>
      <x:c r="K25" s="8"/>
      <x:c r="L25" s="8"/>
      <x:c r="M25" s="8"/>
      <x:c r="N25" s="8"/>
    </x:row>
    <x:row r="26">
      <x:c r="A26" s="8"/>
      <x:c r="B26" s="8"/>
      <x:c r="C26" s="8"/>
      <x:c r="D26" s="8"/>
      <x:c r="E26" s="8"/>
      <x:c r="F26" s="8"/>
      <x:c r="G26" s="8"/>
      <x:c r="H26" s="8"/>
      <x:c r="I26" s="8"/>
      <x:c r="J26" s="8"/>
      <x:c r="K26" s="8"/>
      <x:c r="L26" s="8"/>
      <x:c r="M26" s="8"/>
      <x:c r="N26" s="8"/>
    </x:row>
    <x:row r="27">
      <x:c r="A27" s="8"/>
      <x:c r="B27" s="8"/>
      <x:c r="C27" s="8"/>
      <x:c r="D27" s="8"/>
      <x:c r="E27" s="8"/>
      <x:c r="F27" s="8"/>
      <x:c r="G27" s="8"/>
      <x:c r="H27" s="8"/>
      <x:c r="I27" s="8"/>
      <x:c r="J27" s="8"/>
      <x:c r="K27" s="8"/>
      <x:c r="L27" s="8"/>
      <x:c r="M27" s="8"/>
      <x:c r="N27" s="8"/>
    </x:row>
    <x:row r="28">
      <x:c r="A28" s="8"/>
      <x:c r="B28" s="8"/>
      <x:c r="C28" s="8"/>
      <x:c r="D28" s="8"/>
      <x:c r="E28" s="8"/>
      <x:c r="F28" s="8"/>
      <x:c r="G28" s="8"/>
      <x:c r="H28" s="8"/>
      <x:c r="I28" s="8"/>
      <x:c r="J28" s="8"/>
      <x:c r="K28" s="8"/>
      <x:c r="L28" s="8"/>
      <x:c r="M28" s="8"/>
      <x:c r="N28" s="8"/>
    </x:row>
    <x:row r="29">
      <x:c r="A29" s="8"/>
      <x:c r="B29" s="8"/>
      <x:c r="C29" s="8"/>
      <x:c r="D29" s="8"/>
      <x:c r="E29" s="8"/>
      <x:c r="F29" s="8"/>
      <x:c r="G29" s="8"/>
      <x:c r="H29" s="8"/>
      <x:c r="I29" s="8"/>
      <x:c r="J29" s="8"/>
      <x:c r="K29" s="8"/>
      <x:c r="L29" s="8"/>
      <x:c r="M29" s="8"/>
      <x:c r="N29" s="8"/>
    </x:row>
    <x:row r="30">
      <x:c r="A30" s="8"/>
      <x:c r="B30" s="8"/>
      <x:c r="C30" s="8"/>
      <x:c r="D30" s="8"/>
      <x:c r="E30" s="8"/>
      <x:c r="F30" s="8"/>
      <x:c r="G30" s="8"/>
      <x:c r="H30" s="8"/>
      <x:c r="I30" s="8"/>
      <x:c r="J30" s="8"/>
      <x:c r="K30" s="8"/>
      <x:c r="L30" s="8"/>
      <x:c r="M30" s="8"/>
      <x:c r="N30" s="8"/>
    </x:row>
    <x:row r="31">
      <x:c r="A31" s="8"/>
      <x:c r="B31" s="8"/>
      <x:c r="C31" s="8"/>
      <x:c r="D31" s="8"/>
      <x:c r="E31" s="8"/>
      <x:c r="F31" s="8"/>
      <x:c r="G31" s="8"/>
      <x:c r="H31" s="8"/>
      <x:c r="I31" s="8"/>
      <x:c r="J31" s="8"/>
      <x:c r="K31" s="8"/>
      <x:c r="L31" s="8"/>
      <x:c r="M31" s="8"/>
      <x:c r="N31" s="8"/>
    </x:row>
    <x:row r="32">
      <x:c r="A32" s="8"/>
      <x:c r="B32" s="8"/>
      <x:c r="C32" s="8"/>
      <x:c r="D32" s="8"/>
      <x:c r="E32" s="8"/>
      <x:c r="F32" s="8"/>
      <x:c r="G32" s="8"/>
      <x:c r="H32" s="8"/>
      <x:c r="I32" s="8"/>
      <x:c r="J32" s="8"/>
      <x:c r="K32" s="8"/>
      <x:c r="L32" s="8"/>
      <x:c r="M32" s="8"/>
      <x:c r="N32" s="8"/>
    </x:row>
    <x:row r="33">
      <x:c r="A33" s="8"/>
      <x:c r="B33" s="8"/>
      <x:c r="C33" s="8"/>
      <x:c r="D33" s="8"/>
      <x:c r="E33" s="8"/>
      <x:c r="F33" s="8"/>
      <x:c r="G33" s="8"/>
      <x:c r="H33" s="8"/>
      <x:c r="I33" s="8"/>
      <x:c r="J33" s="8"/>
      <x:c r="K33" s="8"/>
      <x:c r="L33" s="8"/>
      <x:c r="M33" s="8"/>
      <x:c r="N33" s="8"/>
    </x:row>
    <x:row r="34">
      <x:c r="A34" s="8"/>
      <x:c r="B34" s="8"/>
      <x:c r="C34" s="8"/>
      <x:c r="D34" s="8"/>
      <x:c r="E34" s="8"/>
      <x:c r="F34" s="8"/>
      <x:c r="G34" s="8"/>
      <x:c r="H34" s="8"/>
      <x:c r="I34" s="8"/>
      <x:c r="J34" s="8"/>
      <x:c r="K34" s="8"/>
      <x:c r="L34" s="8"/>
      <x:c r="M34" s="8"/>
      <x:c r="N34" s="8"/>
    </x:row>
    <x:row r="35">
      <x:c r="A35" s="8"/>
      <x:c r="B35" s="8"/>
      <x:c r="C35" s="8"/>
      <x:c r="D35" s="8"/>
      <x:c r="E35" s="8"/>
      <x:c r="F35" s="8"/>
      <x:c r="G35" s="8"/>
      <x:c r="H35" s="8"/>
      <x:c r="I35" s="8"/>
      <x:c r="J35" s="8"/>
      <x:c r="K35" s="8"/>
      <x:c r="L35" s="8"/>
      <x:c r="M35" s="8"/>
      <x:c r="N35" s="8"/>
    </x:row>
    <x:row r="36">
      <x:c r="A36" s="8"/>
      <x:c r="B36" s="8"/>
      <x:c r="C36" s="8"/>
      <x:c r="D36" s="8"/>
      <x:c r="E36" s="8"/>
      <x:c r="F36" s="8"/>
      <x:c r="G36" s="8"/>
      <x:c r="H36" s="8"/>
      <x:c r="I36" s="8"/>
      <x:c r="J36" s="8"/>
      <x:c r="K36" s="8"/>
      <x:c r="L36" s="8"/>
      <x:c r="M36" s="8"/>
      <x:c r="N36" s="8"/>
    </x:row>
    <x:row r="37">
      <x:c r="A37" s="8"/>
      <x:c r="B37" s="8"/>
      <x:c r="C37" s="8"/>
      <x:c r="D37" s="8"/>
      <x:c r="E37" s="8"/>
      <x:c r="F37" s="8"/>
      <x:c r="G37" s="8"/>
      <x:c r="H37" s="8"/>
      <x:c r="I37" s="8"/>
      <x:c r="J37" s="8"/>
      <x:c r="K37" s="8"/>
      <x:c r="L37" s="8"/>
      <x:c r="M37" s="8"/>
      <x:c r="N37" s="8"/>
    </x:row>
    <x:row r="38">
      <x:c r="A38" s="8"/>
      <x:c r="B38" s="8"/>
      <x:c r="C38" s="8"/>
      <x:c r="D38" s="8"/>
      <x:c r="E38" s="8"/>
      <x:c r="F38" s="8"/>
      <x:c r="G38" s="8"/>
      <x:c r="H38" s="8"/>
      <x:c r="I38" s="8"/>
      <x:c r="J38" s="8"/>
      <x:c r="K38" s="8"/>
      <x:c r="L38" s="8"/>
      <x:c r="M38" s="8"/>
      <x:c r="N38" s="8"/>
    </x:row>
    <x:row r="39">
      <x:c r="A39" s="8"/>
      <x:c r="B39" s="8"/>
      <x:c r="C39" s="8"/>
      <x:c r="D39" s="8"/>
      <x:c r="E39" s="8"/>
      <x:c r="F39" s="8"/>
      <x:c r="G39" s="8"/>
      <x:c r="H39" s="8"/>
      <x:c r="I39" s="8"/>
      <x:c r="J39" s="8"/>
      <x:c r="K39" s="8"/>
      <x:c r="L39" s="8"/>
      <x:c r="M39" s="8"/>
      <x:c r="N39" s="8"/>
    </x:row>
    <x:row r="40">
      <x:c r="A40" s="8"/>
      <x:c r="B40" s="8"/>
      <x:c r="C40" s="8"/>
      <x:c r="D40" s="8"/>
      <x:c r="E40" s="8"/>
      <x:c r="F40" s="8"/>
      <x:c r="G40" s="8"/>
      <x:c r="H40" s="8"/>
      <x:c r="I40" s="8"/>
      <x:c r="J40" s="8"/>
      <x:c r="K40" s="8"/>
      <x:c r="L40" s="8"/>
      <x:c r="M40" s="8"/>
      <x:c r="N40" s="8"/>
    </x:row>
    <x:row r="41">
      <x:c r="A41" s="8"/>
      <x:c r="B41" s="8"/>
      <x:c r="C41" s="8"/>
      <x:c r="D41" s="8"/>
      <x:c r="E41" s="8"/>
      <x:c r="F41" s="8"/>
      <x:c r="G41" s="8"/>
      <x:c r="H41" s="8"/>
      <x:c r="I41" s="8"/>
      <x:c r="J41" s="8"/>
      <x:c r="K41" s="8"/>
      <x:c r="L41" s="8"/>
      <x:c r="M41" s="8"/>
      <x:c r="N41" s="8"/>
    </x:row>
    <x:row r="42">
      <x:c r="A42" s="8"/>
      <x:c r="B42" s="8"/>
      <x:c r="C42" s="8"/>
      <x:c r="D42" s="8"/>
      <x:c r="E42" s="8"/>
      <x:c r="F42" s="8"/>
      <x:c r="G42" s="8"/>
      <x:c r="H42" s="8"/>
      <x:c r="I42" s="8"/>
      <x:c r="J42" s="8"/>
      <x:c r="K42" s="8"/>
      <x:c r="L42" s="8"/>
      <x:c r="M42" s="8"/>
      <x:c r="N42" s="8"/>
    </x:row>
    <x:row r="43">
      <x:c r="A43" s="8"/>
      <x:c r="B43" s="8"/>
      <x:c r="C43" s="8"/>
      <x:c r="D43" s="8"/>
      <x:c r="E43" s="8"/>
      <x:c r="F43" s="8"/>
      <x:c r="G43" s="8"/>
      <x:c r="H43" s="8"/>
      <x:c r="I43" s="8"/>
      <x:c r="J43" s="8"/>
      <x:c r="K43" s="8"/>
      <x:c r="L43" s="8"/>
      <x:c r="M43" s="8"/>
      <x:c r="N43" s="8"/>
    </x:row>
    <x:row r="44">
      <x:c r="A44" s="8"/>
      <x:c r="B44" s="8"/>
      <x:c r="C44" s="8"/>
      <x:c r="D44" s="8"/>
      <x:c r="E44" s="8"/>
      <x:c r="F44" s="8"/>
      <x:c r="G44" s="8"/>
      <x:c r="H44" s="8"/>
      <x:c r="I44" s="8"/>
      <x:c r="J44" s="8"/>
      <x:c r="K44" s="8"/>
      <x:c r="L44" s="8"/>
      <x:c r="M44" s="8"/>
      <x:c r="N44" s="8"/>
    </x:row>
    <x:row r="45">
      <x:c r="A45" s="8"/>
      <x:c r="B45" s="8"/>
      <x:c r="C45" s="8"/>
      <x:c r="D45" s="8"/>
      <x:c r="E45" s="8"/>
      <x:c r="F45" s="8"/>
      <x:c r="G45" s="8"/>
      <x:c r="H45" s="8"/>
      <x:c r="I45" s="8"/>
      <x:c r="J45" s="8"/>
      <x:c r="K45" s="8"/>
      <x:c r="L45" s="8"/>
      <x:c r="M45" s="8"/>
      <x:c r="N45" s="8"/>
    </x:row>
    <x:row r="46">
      <x:c r="A46" s="8"/>
      <x:c r="B46" s="8"/>
      <x:c r="C46" s="8"/>
      <x:c r="D46" s="8"/>
      <x:c r="E46" s="8"/>
      <x:c r="F46" s="8"/>
      <x:c r="G46" s="8"/>
      <x:c r="H46" s="8"/>
      <x:c r="I46" s="8"/>
      <x:c r="J46" s="8"/>
      <x:c r="K46" s="8"/>
      <x:c r="L46" s="8"/>
      <x:c r="M46" s="8"/>
      <x:c r="N46" s="8"/>
    </x:row>
    <x:row r="47">
      <x:c r="A47" s="8"/>
      <x:c r="B47" s="8"/>
      <x:c r="C47" s="8"/>
      <x:c r="D47" s="8"/>
      <x:c r="E47" s="8"/>
      <x:c r="F47" s="8"/>
      <x:c r="G47" s="8"/>
      <x:c r="H47" s="8"/>
      <x:c r="I47" s="8"/>
      <x:c r="J47" s="8"/>
      <x:c r="K47" s="8"/>
      <x:c r="L47" s="8"/>
      <x:c r="M47" s="8"/>
      <x:c r="N47" s="8"/>
    </x:row>
    <x:row r="48">
      <x:c r="A48" s="8"/>
      <x:c r="B48" s="8"/>
      <x:c r="C48" s="8"/>
      <x:c r="D48" s="8"/>
      <x:c r="E48" s="8"/>
      <x:c r="F48" s="8"/>
      <x:c r="G48" s="8"/>
      <x:c r="H48" s="8"/>
      <x:c r="I48" s="8"/>
      <x:c r="J48" s="8"/>
      <x:c r="K48" s="8"/>
      <x:c r="L48" s="8"/>
      <x:c r="M48" s="8"/>
      <x:c r="N48" s="8"/>
    </x:row>
    <x:row r="49">
      <x:c r="A49" s="8"/>
      <x:c r="B49" s="8"/>
      <x:c r="C49" s="8"/>
      <x:c r="D49" s="8"/>
      <x:c r="E49" s="8"/>
      <x:c r="F49" s="8"/>
      <x:c r="G49" s="8"/>
      <x:c r="H49" s="8"/>
      <x:c r="I49" s="8"/>
      <x:c r="J49" s="8"/>
      <x:c r="K49" s="8"/>
      <x:c r="L49" s="8"/>
      <x:c r="M49" s="8"/>
      <x:c r="N49" s="8"/>
    </x:row>
    <x:row r="50">
      <x:c r="A50" s="8"/>
      <x:c r="B50" s="8"/>
      <x:c r="C50" s="8"/>
      <x:c r="D50" s="8"/>
      <x:c r="E50" s="8"/>
      <x:c r="F50" s="8"/>
      <x:c r="G50" s="8"/>
      <x:c r="H50" s="8"/>
      <x:c r="I50" s="8"/>
      <x:c r="J50" s="8"/>
      <x:c r="K50" s="8"/>
      <x:c r="L50" s="8"/>
      <x:c r="M50" s="8"/>
      <x:c r="N50" s="8"/>
    </x:row>
    <x:row r="51">
      <x:c r="A51" s="8"/>
      <x:c r="B51" s="8"/>
      <x:c r="C51" s="8"/>
      <x:c r="D51" s="8"/>
      <x:c r="E51" s="8"/>
      <x:c r="F51" s="8"/>
      <x:c r="G51" s="8"/>
      <x:c r="H51" s="8"/>
      <x:c r="I51" s="8"/>
      <x:c r="J51" s="8"/>
      <x:c r="K51" s="8"/>
      <x:c r="L51" s="8"/>
      <x:c r="M51" s="8"/>
      <x:c r="N51" s="8"/>
    </x:row>
    <x:row r="52">
      <x:c r="A52" s="8"/>
      <x:c r="B52" s="8"/>
      <x:c r="C52" s="8"/>
      <x:c r="D52" s="8"/>
      <x:c r="E52" s="8"/>
      <x:c r="F52" s="8"/>
      <x:c r="G52" s="8"/>
      <x:c r="H52" s="8"/>
      <x:c r="I52" s="8"/>
      <x:c r="J52" s="8"/>
      <x:c r="K52" s="8"/>
      <x:c r="L52" s="8"/>
      <x:c r="M52" s="8"/>
      <x:c r="N52" s="8"/>
    </x:row>
    <x:row r="53">
      <x:c r="A53" s="8"/>
      <x:c r="B53" s="8"/>
      <x:c r="C53" s="8"/>
      <x:c r="D53" s="8"/>
      <x:c r="E53" s="8"/>
      <x:c r="F53" s="8"/>
      <x:c r="G53" s="8"/>
      <x:c r="H53" s="8"/>
      <x:c r="I53" s="8"/>
      <x:c r="J53" s="8"/>
      <x:c r="K53" s="8"/>
      <x:c r="L53" s="8"/>
      <x:c r="M53" s="8"/>
      <x:c r="N53" s="8"/>
    </x:row>
    <x:row r="54">
      <x:c r="A54" s="8"/>
      <x:c r="B54" s="8"/>
      <x:c r="C54" s="8"/>
      <x:c r="D54" s="8"/>
      <x:c r="E54" s="8"/>
      <x:c r="F54" s="8"/>
      <x:c r="G54" s="8"/>
      <x:c r="H54" s="8"/>
      <x:c r="I54" s="8"/>
      <x:c r="J54" s="8"/>
      <x:c r="K54" s="8"/>
      <x:c r="L54" s="8"/>
      <x:c r="M54" s="8"/>
      <x:c r="N54" s="8"/>
    </x:row>
    <x:row r="55">
      <x:c r="A55" s="8"/>
      <x:c r="B55" s="8"/>
      <x:c r="C55" s="8"/>
      <x:c r="D55" s="8"/>
      <x:c r="E55" s="8"/>
      <x:c r="F55" s="8"/>
      <x:c r="G55" s="8"/>
      <x:c r="H55" s="8"/>
      <x:c r="I55" s="8"/>
      <x:c r="J55" s="8"/>
      <x:c r="K55" s="8"/>
      <x:c r="L55" s="8"/>
      <x:c r="M55" s="8"/>
      <x:c r="N55" s="8"/>
    </x:row>
    <x:row r="56">
      <x:c r="A56" s="8"/>
      <x:c r="B56" s="8"/>
      <x:c r="C56" s="8"/>
      <x:c r="D56" s="8"/>
      <x:c r="E56" s="8"/>
      <x:c r="F56" s="8"/>
      <x:c r="G56" s="8"/>
      <x:c r="H56" s="8"/>
      <x:c r="I56" s="8"/>
      <x:c r="J56" s="8"/>
      <x:c r="K56" s="8"/>
      <x:c r="L56" s="8"/>
      <x:c r="M56" s="8"/>
      <x:c r="N56" s="8"/>
    </x:row>
    <x:row r="57">
      <x:c r="A57" s="8"/>
      <x:c r="B57" s="8"/>
      <x:c r="C57" s="8"/>
      <x:c r="D57" s="8"/>
      <x:c r="E57" s="8"/>
      <x:c r="F57" s="8"/>
      <x:c r="G57" s="8"/>
      <x:c r="H57" s="8"/>
      <x:c r="I57" s="8"/>
      <x:c r="J57" s="8"/>
      <x:c r="K57" s="8"/>
      <x:c r="L57" s="8"/>
      <x:c r="M57" s="8"/>
      <x:c r="N57" s="8"/>
    </x:row>
    <x:row r="58">
      <x:c r="A58" s="8"/>
      <x:c r="B58" s="8"/>
      <x:c r="C58" s="8"/>
      <x:c r="D58" s="8"/>
      <x:c r="E58" s="8"/>
      <x:c r="F58" s="8"/>
      <x:c r="G58" s="8"/>
      <x:c r="H58" s="8"/>
      <x:c r="I58" s="8"/>
      <x:c r="J58" s="8"/>
      <x:c r="K58" s="8"/>
      <x:c r="L58" s="8"/>
      <x:c r="M58" s="8"/>
      <x:c r="N58" s="8"/>
    </x:row>
    <x:row r="59">
      <x:c r="A59" s="8"/>
      <x:c r="B59" s="8"/>
      <x:c r="C59" s="8"/>
      <x:c r="D59" s="8"/>
      <x:c r="E59" s="8"/>
      <x:c r="F59" s="8"/>
      <x:c r="G59" s="8"/>
      <x:c r="H59" s="8"/>
      <x:c r="I59" s="8"/>
      <x:c r="J59" s="8"/>
      <x:c r="K59" s="8"/>
      <x:c r="L59" s="8"/>
      <x:c r="M59" s="8"/>
      <x:c r="N59" s="8"/>
    </x:row>
    <x:row r="60">
      <x:c r="A60" s="8"/>
      <x:c r="B60" s="8"/>
      <x:c r="C60" s="8"/>
      <x:c r="D60" s="8"/>
      <x:c r="E60" s="8"/>
      <x:c r="F60" s="8"/>
      <x:c r="G60" s="8"/>
      <x:c r="H60" s="8"/>
      <x:c r="I60" s="8"/>
      <x:c r="J60" s="8"/>
      <x:c r="K60" s="8"/>
      <x:c r="L60" s="8"/>
      <x:c r="M60" s="8"/>
      <x:c r="N60" s="8"/>
    </x:row>
    <x:row r="61">
      <x:c r="A61" s="8"/>
      <x:c r="B61" s="8"/>
      <x:c r="C61" s="8"/>
      <x:c r="D61" s="8"/>
      <x:c r="E61" s="8"/>
      <x:c r="F61" s="8"/>
      <x:c r="G61" s="8"/>
      <x:c r="H61" s="8"/>
      <x:c r="I61" s="8"/>
      <x:c r="J61" s="8"/>
      <x:c r="K61" s="8"/>
      <x:c r="L61" s="8"/>
      <x:c r="M61" s="8"/>
      <x:c r="N61" s="8"/>
    </x:row>
    <x:row r="62">
      <x:c r="A62" s="8"/>
      <x:c r="B62" s="8"/>
      <x:c r="C62" s="8"/>
      <x:c r="D62" s="8"/>
      <x:c r="E62" s="8"/>
      <x:c r="F62" s="8"/>
      <x:c r="G62" s="8"/>
      <x:c r="H62" s="8"/>
      <x:c r="I62" s="8"/>
      <x:c r="J62" s="8"/>
      <x:c r="K62" s="8"/>
      <x:c r="L62" s="8"/>
      <x:c r="M62" s="8"/>
      <x:c r="N62" s="8"/>
    </x:row>
    <x:row r="63">
      <x:c r="A63" s="8"/>
      <x:c r="B63" s="8"/>
      <x:c r="C63" s="8"/>
      <x:c r="D63" s="8"/>
      <x:c r="E63" s="8"/>
      <x:c r="F63" s="8"/>
      <x:c r="G63" s="8"/>
      <x:c r="H63" s="8"/>
      <x:c r="I63" s="8"/>
      <x:c r="J63" s="8"/>
      <x:c r="K63" s="8"/>
      <x:c r="L63" s="8"/>
      <x:c r="M63" s="8"/>
      <x:c r="N63" s="8"/>
    </x:row>
    <x:row r="64">
      <x:c r="A64" s="8"/>
      <x:c r="B64" s="8"/>
      <x:c r="C64" s="8"/>
      <x:c r="D64" s="8"/>
      <x:c r="E64" s="8"/>
      <x:c r="F64" s="8"/>
      <x:c r="G64" s="8"/>
      <x:c r="H64" s="8"/>
      <x:c r="I64" s="8"/>
      <x:c r="J64" s="8"/>
      <x:c r="K64" s="8"/>
      <x:c r="L64" s="8"/>
      <x:c r="M64" s="8"/>
      <x:c r="N64" s="8"/>
    </x:row>
    <x:row r="65">
      <x:c r="A65" s="8"/>
      <x:c r="B65" s="8"/>
      <x:c r="C65" s="8"/>
      <x:c r="D65" s="8"/>
      <x:c r="E65" s="8"/>
      <x:c r="F65" s="8"/>
      <x:c r="G65" s="8"/>
      <x:c r="H65" s="8"/>
      <x:c r="I65" s="8"/>
      <x:c r="J65" s="8"/>
      <x:c r="K65" s="8"/>
      <x:c r="L65" s="8"/>
      <x:c r="M65" s="8"/>
      <x:c r="N65" s="8"/>
    </x:row>
    <x:row r="66">
      <x:c r="A66" s="8"/>
      <x:c r="B66" s="8"/>
      <x:c r="C66" s="8"/>
      <x:c r="D66" s="8"/>
      <x:c r="E66" s="8"/>
      <x:c r="F66" s="8"/>
      <x:c r="G66" s="8"/>
      <x:c r="H66" s="8"/>
      <x:c r="I66" s="8"/>
      <x:c r="J66" s="8"/>
      <x:c r="K66" s="8"/>
      <x:c r="L66" s="8"/>
      <x:c r="M66" s="8"/>
      <x:c r="N66" s="8"/>
    </x:row>
    <x:row r="67">
      <x:c r="A67" s="8"/>
      <x:c r="B67" s="8"/>
      <x:c r="C67" s="8"/>
      <x:c r="D67" s="8"/>
      <x:c r="E67" s="8"/>
      <x:c r="F67" s="8"/>
      <x:c r="G67" s="8"/>
      <x:c r="H67" s="8"/>
      <x:c r="I67" s="8"/>
      <x:c r="J67" s="8"/>
      <x:c r="K67" s="8"/>
      <x:c r="L67" s="8"/>
      <x:c r="M67" s="8"/>
      <x:c r="N67" s="8"/>
    </x:row>
    <x:row r="68">
      <x:c r="A68" s="8"/>
      <x:c r="B68" s="8"/>
      <x:c r="C68" s="8"/>
      <x:c r="D68" s="8"/>
      <x:c r="E68" s="8"/>
      <x:c r="F68" s="8"/>
      <x:c r="G68" s="8"/>
      <x:c r="H68" s="8"/>
      <x:c r="I68" s="8"/>
      <x:c r="J68" s="8"/>
      <x:c r="K68" s="8"/>
      <x:c r="L68" s="8"/>
      <x:c r="M68" s="8"/>
      <x:c r="N68" s="8"/>
    </x:row>
    <x:row r="69">
      <x:c r="A69" s="8"/>
      <x:c r="B69" s="8"/>
      <x:c r="C69" s="8"/>
      <x:c r="D69" s="8"/>
      <x:c r="E69" s="8"/>
      <x:c r="F69" s="8"/>
      <x:c r="G69" s="8"/>
      <x:c r="H69" s="8"/>
      <x:c r="I69" s="8"/>
      <x:c r="J69" s="8"/>
      <x:c r="K69" s="8"/>
      <x:c r="L69" s="8"/>
      <x:c r="M69" s="8"/>
      <x:c r="N69" s="8"/>
    </x:row>
    <x:row r="70">
      <x:c r="A70" s="8"/>
      <x:c r="B70" s="8"/>
      <x:c r="C70" s="8"/>
      <x:c r="D70" s="8"/>
      <x:c r="E70" s="8"/>
      <x:c r="F70" s="8"/>
      <x:c r="G70" s="8"/>
      <x:c r="H70" s="8"/>
      <x:c r="I70" s="8"/>
      <x:c r="J70" s="8"/>
      <x:c r="K70" s="8"/>
      <x:c r="L70" s="8"/>
      <x:c r="M70" s="8"/>
      <x:c r="N70" s="8"/>
    </x:row>
    <x:row r="71">
      <x:c r="A71" s="8"/>
      <x:c r="B71" s="8"/>
      <x:c r="C71" s="8"/>
      <x:c r="D71" s="8"/>
      <x:c r="E71" s="8"/>
      <x:c r="F71" s="8"/>
      <x:c r="G71" s="8"/>
      <x:c r="H71" s="8"/>
      <x:c r="I71" s="8"/>
      <x:c r="J71" s="8"/>
      <x:c r="K71" s="8"/>
      <x:c r="L71" s="8"/>
      <x:c r="M71" s="8"/>
      <x:c r="N71" s="8"/>
    </x:row>
    <x:row r="72">
      <x:c r="A72" s="8"/>
      <x:c r="B72" s="8"/>
      <x:c r="C72" s="8"/>
      <x:c r="D72" s="8"/>
      <x:c r="E72" s="8"/>
      <x:c r="F72" s="8"/>
      <x:c r="G72" s="8"/>
      <x:c r="H72" s="8"/>
      <x:c r="I72" s="8"/>
      <x:c r="J72" s="8"/>
      <x:c r="K72" s="8"/>
      <x:c r="L72" s="8"/>
      <x:c r="M72" s="8"/>
      <x:c r="N72" s="8"/>
    </x:row>
    <x:row r="73">
      <x:c r="A73" s="8"/>
      <x:c r="B73" s="8"/>
      <x:c r="C73" s="8"/>
      <x:c r="D73" s="8"/>
      <x:c r="E73" s="8"/>
      <x:c r="F73" s="8"/>
      <x:c r="G73" s="8"/>
      <x:c r="H73" s="8"/>
      <x:c r="I73" s="8"/>
      <x:c r="J73" s="8"/>
      <x:c r="K73" s="8"/>
      <x:c r="L73" s="8"/>
      <x:c r="M73" s="8"/>
      <x:c r="N73" s="8"/>
    </x:row>
    <x:row r="74">
      <x:c r="A74" s="8"/>
      <x:c r="B74" s="8"/>
      <x:c r="C74" s="8"/>
      <x:c r="D74" s="8"/>
      <x:c r="E74" s="8"/>
      <x:c r="F74" s="8"/>
      <x:c r="G74" s="8"/>
      <x:c r="H74" s="8"/>
      <x:c r="I74" s="8"/>
      <x:c r="J74" s="8"/>
      <x:c r="K74" s="8"/>
      <x:c r="L74" s="8"/>
      <x:c r="M74" s="8"/>
      <x:c r="N74" s="8"/>
    </x:row>
    <x:row r="75">
      <x:c r="A75" s="8"/>
      <x:c r="B75" s="8"/>
      <x:c r="C75" s="8"/>
      <x:c r="D75" s="8"/>
      <x:c r="E75" s="8"/>
      <x:c r="F75" s="8"/>
      <x:c r="G75" s="8"/>
      <x:c r="H75" s="8"/>
      <x:c r="I75" s="8"/>
      <x:c r="J75" s="8"/>
      <x:c r="K75" s="8"/>
      <x:c r="L75" s="8"/>
      <x:c r="M75" s="8"/>
      <x:c r="N75" s="8"/>
    </x:row>
    <x:row r="76">
      <x:c r="A76" s="8"/>
      <x:c r="B76" s="8"/>
      <x:c r="C76" s="8"/>
      <x:c r="D76" s="8"/>
      <x:c r="E76" s="8"/>
      <x:c r="F76" s="8"/>
      <x:c r="G76" s="8"/>
      <x:c r="H76" s="8"/>
      <x:c r="I76" s="8"/>
      <x:c r="J76" s="8"/>
      <x:c r="K76" s="8"/>
      <x:c r="L76" s="8"/>
      <x:c r="M76" s="8"/>
      <x:c r="N76" s="8"/>
    </x:row>
    <x:row r="77">
      <x:c r="A77" s="8"/>
      <x:c r="B77" s="8"/>
      <x:c r="C77" s="8"/>
      <x:c r="D77" s="8"/>
      <x:c r="E77" s="8"/>
      <x:c r="F77" s="8"/>
      <x:c r="G77" s="8"/>
      <x:c r="H77" s="8"/>
      <x:c r="I77" s="8"/>
      <x:c r="J77" s="8"/>
      <x:c r="K77" s="8"/>
      <x:c r="L77" s="8"/>
      <x:c r="M77" s="8"/>
      <x:c r="N77" s="8"/>
    </x:row>
    <x:row r="78">
      <x:c r="A78" s="8"/>
      <x:c r="B78" s="8"/>
      <x:c r="C78" s="8"/>
      <x:c r="D78" s="8"/>
      <x:c r="E78" s="8"/>
      <x:c r="F78" s="8"/>
      <x:c r="G78" s="8"/>
      <x:c r="H78" s="8"/>
      <x:c r="I78" s="8"/>
      <x:c r="J78" s="8"/>
      <x:c r="K78" s="8"/>
      <x:c r="L78" s="8"/>
      <x:c r="M78" s="8"/>
      <x:c r="N78" s="8"/>
    </x:row>
    <x:row r="79">
      <x:c r="A79" s="8"/>
      <x:c r="B79" s="8"/>
      <x:c r="C79" s="8"/>
      <x:c r="D79" s="8"/>
      <x:c r="E79" s="8"/>
      <x:c r="F79" s="8"/>
      <x:c r="G79" s="8"/>
      <x:c r="H79" s="8"/>
      <x:c r="I79" s="8"/>
      <x:c r="J79" s="8"/>
      <x:c r="K79" s="8"/>
      <x:c r="L79" s="8"/>
      <x:c r="M79" s="8"/>
      <x:c r="N79" s="8"/>
    </x:row>
    <x:row r="80">
      <x:c r="A80" s="8"/>
      <x:c r="B80" s="8"/>
      <x:c r="C80" s="8"/>
      <x:c r="D80" s="8"/>
      <x:c r="E80" s="8"/>
      <x:c r="F80" s="8"/>
      <x:c r="G80" s="8"/>
      <x:c r="H80" s="8"/>
      <x:c r="I80" s="8"/>
      <x:c r="J80" s="8"/>
      <x:c r="K80" s="8"/>
      <x:c r="L80" s="8"/>
      <x:c r="M80" s="8"/>
      <x:c r="N80" s="8"/>
    </x:row>
    <x:row r="81">
      <x:c r="A81" s="8"/>
      <x:c r="B81" s="8"/>
      <x:c r="C81" s="8"/>
      <x:c r="D81" s="8"/>
      <x:c r="E81" s="8"/>
      <x:c r="F81" s="8"/>
      <x:c r="G81" s="8"/>
      <x:c r="H81" s="8"/>
      <x:c r="I81" s="8"/>
      <x:c r="J81" s="8"/>
      <x:c r="K81" s="8"/>
      <x:c r="L81" s="8"/>
      <x:c r="M81" s="8"/>
      <x:c r="N81" s="8"/>
    </x:row>
    <x:row r="82">
      <x:c r="A82" s="8"/>
      <x:c r="B82" s="8"/>
      <x:c r="C82" s="8"/>
      <x:c r="D82" s="8"/>
      <x:c r="E82" s="8"/>
      <x:c r="F82" s="8"/>
      <x:c r="G82" s="8"/>
      <x:c r="H82" s="8"/>
      <x:c r="I82" s="8"/>
      <x:c r="J82" s="8"/>
      <x:c r="K82" s="8"/>
      <x:c r="L82" s="8"/>
      <x:c r="M82" s="8"/>
      <x:c r="N82" s="8"/>
    </x:row>
    <x:row r="83">
      <x:c r="A83" s="8"/>
      <x:c r="B83" s="8"/>
      <x:c r="C83" s="8"/>
      <x:c r="D83" s="8"/>
      <x:c r="E83" s="8"/>
      <x:c r="F83" s="8"/>
      <x:c r="G83" s="8"/>
      <x:c r="H83" s="8"/>
      <x:c r="I83" s="8"/>
      <x:c r="J83" s="8"/>
      <x:c r="K83" s="8"/>
      <x:c r="L83" s="8"/>
      <x:c r="M83" s="8"/>
      <x:c r="N83" s="8"/>
    </x:row>
    <x:row r="84">
      <x:c r="A84" s="8"/>
      <x:c r="B84" s="8"/>
      <x:c r="C84" s="8"/>
      <x:c r="D84" s="8"/>
      <x:c r="E84" s="8"/>
      <x:c r="F84" s="8"/>
      <x:c r="G84" s="8"/>
      <x:c r="H84" s="8"/>
      <x:c r="I84" s="8"/>
      <x:c r="J84" s="8"/>
      <x:c r="K84" s="8"/>
      <x:c r="L84" s="8"/>
      <x:c r="M84" s="8"/>
      <x:c r="N84" s="8"/>
    </x:row>
    <x:row r="85">
      <x:c r="A85" s="8"/>
      <x:c r="B85" s="8"/>
      <x:c r="C85" s="8"/>
      <x:c r="D85" s="8"/>
      <x:c r="E85" s="8"/>
      <x:c r="F85" s="8"/>
      <x:c r="G85" s="8"/>
      <x:c r="H85" s="8"/>
      <x:c r="I85" s="8"/>
      <x:c r="J85" s="8"/>
      <x:c r="K85" s="8"/>
      <x:c r="L85" s="8"/>
      <x:c r="M85" s="8"/>
      <x:c r="N85" s="8"/>
    </x:row>
    <x:row r="86">
      <x:c r="A86" s="8"/>
      <x:c r="B86" s="8"/>
      <x:c r="C86" s="8"/>
      <x:c r="D86" s="8"/>
      <x:c r="E86" s="8"/>
      <x:c r="F86" s="8"/>
      <x:c r="G86" s="8"/>
      <x:c r="H86" s="8"/>
      <x:c r="I86" s="8"/>
      <x:c r="J86" s="8"/>
      <x:c r="K86" s="8"/>
      <x:c r="L86" s="8"/>
      <x:c r="M86" s="8"/>
      <x:c r="N86" s="8"/>
    </x:row>
    <x:row r="87">
      <x:c r="A87" s="8"/>
      <x:c r="B87" s="8"/>
      <x:c r="C87" s="8"/>
      <x:c r="D87" s="8"/>
      <x:c r="E87" s="8"/>
      <x:c r="F87" s="8"/>
      <x:c r="G87" s="8"/>
      <x:c r="H87" s="8"/>
      <x:c r="I87" s="8"/>
      <x:c r="J87" s="8"/>
      <x:c r="K87" s="8"/>
      <x:c r="L87" s="8"/>
      <x:c r="M87" s="8"/>
      <x:c r="N87" s="8"/>
    </x:row>
    <x:row r="88">
      <x:c r="A88" s="8"/>
      <x:c r="B88" s="8"/>
      <x:c r="C88" s="8"/>
      <x:c r="D88" s="8"/>
      <x:c r="E88" s="8"/>
      <x:c r="F88" s="8"/>
      <x:c r="G88" s="8"/>
      <x:c r="H88" s="8"/>
      <x:c r="I88" s="8"/>
      <x:c r="J88" s="8"/>
      <x:c r="K88" s="8"/>
      <x:c r="L88" s="8"/>
      <x:c r="M88" s="8"/>
      <x:c r="N88" s="8"/>
    </x:row>
    <x:row r="89">
      <x:c r="A89" s="8"/>
      <x:c r="B89" s="8"/>
      <x:c r="C89" s="8"/>
      <x:c r="D89" s="8"/>
      <x:c r="E89" s="8"/>
      <x:c r="F89" s="8"/>
      <x:c r="G89" s="8"/>
      <x:c r="H89" s="8"/>
      <x:c r="I89" s="8"/>
      <x:c r="J89" s="8"/>
      <x:c r="K89" s="8"/>
      <x:c r="L89" s="8"/>
      <x:c r="M89" s="8"/>
      <x:c r="N89" s="8"/>
    </x:row>
    <x:row r="90">
      <x:c r="A90" s="8"/>
      <x:c r="B90" s="8"/>
      <x:c r="C90" s="8"/>
      <x:c r="D90" s="8"/>
      <x:c r="E90" s="8"/>
      <x:c r="F90" s="8"/>
      <x:c r="G90" s="8"/>
      <x:c r="H90" s="8"/>
      <x:c r="I90" s="8"/>
      <x:c r="J90" s="8"/>
      <x:c r="K90" s="8"/>
      <x:c r="L90" s="8"/>
      <x:c r="M90" s="8"/>
      <x:c r="N90" s="8"/>
    </x:row>
    <x:row r="91">
      <x:c r="A91" s="8"/>
      <x:c r="B91" s="8"/>
      <x:c r="C91" s="8"/>
      <x:c r="D91" s="8"/>
      <x:c r="E91" s="8"/>
      <x:c r="F91" s="8"/>
      <x:c r="G91" s="8"/>
      <x:c r="H91" s="8"/>
      <x:c r="I91" s="8"/>
      <x:c r="J91" s="8"/>
      <x:c r="K91" s="8"/>
      <x:c r="L91" s="8"/>
      <x:c r="M91" s="8"/>
      <x:c r="N91" s="8"/>
    </x:row>
    <x:row r="92">
      <x:c r="A92" s="8"/>
      <x:c r="B92" s="8"/>
      <x:c r="C92" s="8"/>
      <x:c r="D92" s="8"/>
      <x:c r="E92" s="8"/>
      <x:c r="F92" s="8"/>
      <x:c r="G92" s="8"/>
      <x:c r="H92" s="8"/>
      <x:c r="I92" s="8"/>
      <x:c r="J92" s="8"/>
      <x:c r="K92" s="8"/>
      <x:c r="L92" s="8"/>
      <x:c r="M92" s="8"/>
      <x:c r="N92" s="8"/>
    </x:row>
    <x:row r="93">
      <x:c r="A93" s="8"/>
      <x:c r="B93" s="8"/>
      <x:c r="C93" s="8"/>
      <x:c r="D93" s="8"/>
      <x:c r="E93" s="8"/>
      <x:c r="F93" s="8"/>
      <x:c r="G93" s="8"/>
      <x:c r="H93" s="8"/>
      <x:c r="I93" s="8"/>
      <x:c r="J93" s="8"/>
      <x:c r="K93" s="8"/>
      <x:c r="L93" s="8"/>
      <x:c r="M93" s="8"/>
      <x:c r="N93" s="8"/>
    </x:row>
    <x:row r="94">
      <x:c r="A94" s="8"/>
      <x:c r="B94" s="8"/>
      <x:c r="C94" s="8"/>
      <x:c r="D94" s="8"/>
      <x:c r="E94" s="8"/>
      <x:c r="F94" s="8"/>
      <x:c r="G94" s="8"/>
      <x:c r="H94" s="8"/>
      <x:c r="I94" s="8"/>
      <x:c r="J94" s="8"/>
      <x:c r="K94" s="8"/>
      <x:c r="L94" s="8"/>
      <x:c r="M94" s="8"/>
      <x:c r="N94" s="8"/>
    </x:row>
    <x:row r="95">
      <x:c r="A95" s="8"/>
      <x:c r="B95" s="8"/>
      <x:c r="C95" s="8"/>
      <x:c r="D95" s="8"/>
      <x:c r="E95" s="8"/>
      <x:c r="F95" s="8"/>
      <x:c r="G95" s="8"/>
      <x:c r="H95" s="8"/>
      <x:c r="I95" s="8"/>
      <x:c r="J95" s="8"/>
      <x:c r="K95" s="8"/>
      <x:c r="L95" s="8"/>
      <x:c r="M95" s="8"/>
      <x:c r="N95" s="8"/>
    </x:row>
    <x:row r="96">
      <x:c r="A96" s="8"/>
      <x:c r="B96" s="8"/>
      <x:c r="C96" s="8"/>
      <x:c r="D96" s="8"/>
      <x:c r="E96" s="8"/>
      <x:c r="F96" s="8"/>
      <x:c r="G96" s="8"/>
      <x:c r="H96" s="8"/>
      <x:c r="I96" s="8"/>
      <x:c r="J96" s="8"/>
      <x:c r="K96" s="8"/>
      <x:c r="L96" s="8"/>
      <x:c r="M96" s="8"/>
      <x:c r="N96" s="8"/>
    </x:row>
    <x:row r="97">
      <x:c r="A97" s="8"/>
      <x:c r="B97" s="8"/>
      <x:c r="C97" s="8"/>
      <x:c r="D97" s="8"/>
      <x:c r="E97" s="8"/>
      <x:c r="F97" s="8"/>
      <x:c r="G97" s="8"/>
      <x:c r="H97" s="8"/>
      <x:c r="I97" s="8"/>
      <x:c r="J97" s="8"/>
      <x:c r="K97" s="8"/>
      <x:c r="L97" s="8"/>
      <x:c r="M97" s="8"/>
      <x:c r="N97" s="8"/>
    </x:row>
    <x:row r="98">
      <x:c r="A98" s="8"/>
      <x:c r="B98" s="8"/>
      <x:c r="C98" s="8"/>
      <x:c r="D98" s="8"/>
      <x:c r="E98" s="8"/>
      <x:c r="F98" s="8"/>
      <x:c r="G98" s="8"/>
      <x:c r="H98" s="8"/>
      <x:c r="I98" s="8"/>
      <x:c r="J98" s="8"/>
      <x:c r="K98" s="8"/>
      <x:c r="L98" s="8"/>
      <x:c r="M98" s="8"/>
      <x:c r="N98" s="8"/>
    </x:row>
    <x:row r="99">
      <x:c r="A99" s="8"/>
      <x:c r="B99" s="8"/>
      <x:c r="C99" s="8"/>
      <x:c r="D99" s="8"/>
      <x:c r="E99" s="8"/>
      <x:c r="F99" s="8"/>
      <x:c r="G99" s="8"/>
      <x:c r="H99" s="8"/>
      <x:c r="I99" s="8"/>
      <x:c r="J99" s="8"/>
      <x:c r="K99" s="8"/>
      <x:c r="L99" s="8"/>
      <x:c r="M99" s="8"/>
      <x:c r="N99" s="8"/>
    </x:row>
    <x:row r="100">
      <x:c r="A100" s="8"/>
      <x:c r="B100" s="8"/>
      <x:c r="C100" s="8"/>
      <x:c r="D100" s="8"/>
      <x:c r="E100" s="8"/>
      <x:c r="F100" s="8"/>
      <x:c r="G100" s="8"/>
      <x:c r="H100" s="8"/>
      <x:c r="I100" s="8"/>
      <x:c r="J100" s="8"/>
      <x:c r="K100" s="8"/>
      <x:c r="L100" s="8"/>
      <x:c r="M100" s="8"/>
      <x:c r="N100" s="8"/>
    </x:row>
    <x:row r="101">
      <x:c r="A101" s="8"/>
      <x:c r="B101" s="8"/>
      <x:c r="C101" s="8"/>
      <x:c r="D101" s="8"/>
      <x:c r="E101" s="8"/>
      <x:c r="F101" s="8"/>
      <x:c r="G101" s="8"/>
      <x:c r="H101" s="8"/>
      <x:c r="I101" s="8"/>
      <x:c r="J101" s="8"/>
      <x:c r="K101" s="8"/>
      <x:c r="L101" s="8"/>
      <x:c r="M101" s="8"/>
      <x:c r="N101" s="8"/>
    </x:row>
    <x:row r="102">
      <x:c r="A102" s="8"/>
      <x:c r="B102" s="8"/>
      <x:c r="C102" s="8"/>
      <x:c r="D102" s="8"/>
      <x:c r="E102" s="8"/>
      <x:c r="F102" s="8"/>
      <x:c r="G102" s="8"/>
      <x:c r="H102" s="8"/>
      <x:c r="I102" s="8"/>
      <x:c r="J102" s="8"/>
      <x:c r="K102" s="8"/>
      <x:c r="L102" s="8"/>
      <x:c r="M102" s="8"/>
      <x:c r="N102" s="8"/>
    </x:row>
    <x:row r="103">
      <x:c r="A103" s="8"/>
      <x:c r="B103" s="8"/>
      <x:c r="C103" s="8"/>
      <x:c r="D103" s="8"/>
      <x:c r="E103" s="8"/>
      <x:c r="F103" s="8"/>
      <x:c r="G103" s="8"/>
      <x:c r="H103" s="8"/>
      <x:c r="I103" s="8"/>
      <x:c r="J103" s="8"/>
      <x:c r="K103" s="8"/>
      <x:c r="L103" s="8"/>
      <x:c r="M103" s="8"/>
      <x:c r="N103" s="8"/>
    </x:row>
    <x:row r="104">
      <x:c r="A104" s="8"/>
      <x:c r="B104" s="8"/>
      <x:c r="C104" s="8"/>
      <x:c r="D104" s="8"/>
      <x:c r="E104" s="8"/>
      <x:c r="F104" s="8"/>
      <x:c r="G104" s="8"/>
      <x:c r="H104" s="8"/>
      <x:c r="I104" s="8"/>
      <x:c r="J104" s="8"/>
      <x:c r="K104" s="8"/>
      <x:c r="L104" s="8"/>
      <x:c r="M104" s="8"/>
      <x:c r="N104" s="8"/>
    </x:row>
  </x:sheetData>
  <x:mergeCells>
    <x:mergeCell ref="A1:N1"/>
    <x:mergeCell ref="A2:N2"/>
  </x:mergeCells>
  <x:dataValidations count="4">
    <x:dataValidation type="list" sqref="B5:B104">
      <x:formula1>"Deployable application,Library/package,Infrastructure-as-code/GitOps,Data/analytics/model,Documentation/content,Template/scaffold,Sandbox/experimental,Mirror/fork,Archived/retired,Unclassified"</x:formula1>
    </x:dataValidation>
    <x:dataValidation type="list" sqref="D5:D104">
      <x:formula1>"Baseline,Elevated,Critical,Unknown"</x:formula1>
    </x:dataValidation>
    <x:dataValidation type="list" sqref="H5:H104">
      <x:formula1>"Yes,No,Unknown,N/A"</x:formula1>
    </x:dataValidation>
    <x:dataValidation type="list" sqref="I5:I104">
      <x:formula1>"Exact-Main,Releasable-Main,Production-Ref,Custom/per-unit,N/A,Unknown"</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25" hidden="0" customWidth="1"/>
    <x:col min="3" max="3" width="25" hidden="0" customWidth="1"/>
    <x:col min="4" max="4" width="20" hidden="0" customWidth="1"/>
    <x:col min="5" max="5" width="18" hidden="0" customWidth="1"/>
    <x:col min="6" max="6" width="28" hidden="0" customWidth="1"/>
    <x:col min="7" max="7" width="28" hidden="0" customWidth="1"/>
  </x:cols>
  <x:sheetData>
    <x:row r="1" ht="28" customHeight="1">
      <x:c r="A1" s="3" t="str">
        <x:v>Methodology Classification Worksheet</x:v>
      </x:c>
      <x:c r="B1" s="3" t="str">
        <x:v>Methodology Classification Worksheet</x:v>
      </x:c>
      <x:c r="C1" s="3" t="str">
        <x:v>Methodology Classification Worksheet</x:v>
      </x:c>
      <x:c r="D1" s="3" t="str">
        <x:v>Methodology Classification Worksheet</x:v>
      </x:c>
      <x:c r="E1" s="3" t="str">
        <x:v>Methodology Classification Worksheet</x:v>
      </x:c>
      <x:c r="F1" s="3" t="str">
        <x:v>Methodology Classification Worksheet</x:v>
      </x:c>
      <x:c r="G1" s="3" t="str">
        <x:v>Methodology Classification Worksheet</x:v>
      </x:c>
    </x:row>
    <x:row r="2" ht="30" customHeight="1">
      <x:c r="A2" s="7" t="str">
        <x:v>Declaration informs classification; observed evidence determines confidence. Branch names alone never determine the profile.</x:v>
      </x:c>
      <x:c r="B2" s="7" t="str">
        <x:v>Declaration informs classification; observed evidence determines confidence. Branch names alone never determine the profile.</x:v>
      </x:c>
      <x:c r="C2" s="7" t="str">
        <x:v>Declaration informs classification; observed evidence determines confidence. Branch names alone never determine the profile.</x:v>
      </x:c>
      <x:c r="D2" s="7" t="str">
        <x:v>Declaration informs classification; observed evidence determines confidence. Branch names alone never determine the profile.</x:v>
      </x:c>
      <x:c r="E2" s="7" t="str">
        <x:v>Declaration informs classification; observed evidence determines confidence. Branch names alone never determine the profile.</x:v>
      </x:c>
      <x:c r="F2" s="7" t="str">
        <x:v>Declaration informs classification; observed evidence determines confidence. Branch names alone never determine the profile.</x:v>
      </x:c>
      <x:c r="G2" s="7" t="str">
        <x:v>Declaration informs classification; observed evidence determines confidence. Branch names alone never determine the profile.</x:v>
      </x:c>
    </x:row>
    <x:row r="4" ht="30" customHeight="1">
      <x:c r="A4" s="24" t="str">
        <x:v>Axis</x:v>
      </x:c>
      <x:c r="B4" s="24" t="str">
        <x:v>Declared</x:v>
      </x:c>
      <x:c r="C4" s="24" t="str">
        <x:v>Observed</x:v>
      </x:c>
      <x:c r="D4" s="24" t="str">
        <x:v>Evidence IDs</x:v>
      </x:c>
      <x:c r="E4" s="24" t="str">
        <x:v>Contradiction?</x:v>
      </x:c>
      <x:c r="F4" s="24" t="str">
        <x:v>Confidence</x:v>
      </x:c>
      <x:c r="G4" s="24" t="str">
        <x:v>Notes</x:v>
      </x:c>
    </x:row>
    <x:row r="5">
      <x:c r="A5" s="25" t="str">
        <x:v>Canonical integration topology</x:v>
      </x:c>
      <x:c r="B5" s="53"/>
      <x:c r="C5" s="53"/>
      <x:c r="D5" s="53"/>
      <x:c r="E5" s="53"/>
      <x:c r="F5" s="53"/>
      <x:c r="G5" s="53"/>
    </x:row>
    <x:row r="6">
      <x:c r="A6" s="25" t="str">
        <x:v>Change ingress</x:v>
      </x:c>
      <x:c r="B6" s="53"/>
      <x:c r="C6" s="53"/>
      <x:c r="D6" s="53"/>
      <x:c r="E6" s="53"/>
      <x:c r="F6" s="53"/>
      <x:c r="G6" s="53"/>
    </x:row>
    <x:row r="7">
      <x:c r="A7" s="25" t="str">
        <x:v>Branch purpose and lifetime</x:v>
      </x:c>
      <x:c r="B7" s="53"/>
      <x:c r="C7" s="53"/>
      <x:c r="D7" s="53"/>
      <x:c r="E7" s="53"/>
      <x:c r="F7" s="53"/>
      <x:c r="G7" s="53"/>
    </x:row>
    <x:row r="8">
      <x:c r="A8" s="25" t="str">
        <x:v>Integration cadence</x:v>
      </x:c>
      <x:c r="B8" s="53"/>
      <x:c r="C8" s="53"/>
      <x:c r="D8" s="53"/>
      <x:c r="E8" s="53"/>
      <x:c r="F8" s="53"/>
      <x:c r="G8" s="53"/>
    </x:row>
    <x:row r="9">
      <x:c r="A9" s="25" t="str">
        <x:v>Release source</x:v>
      </x:c>
      <x:c r="B9" s="53"/>
      <x:c r="C9" s="53"/>
      <x:c r="D9" s="53"/>
      <x:c r="E9" s="53"/>
      <x:c r="F9" s="53"/>
      <x:c r="G9" s="53"/>
    </x:row>
    <x:row r="10">
      <x:c r="A10" s="25" t="str">
        <x:v>Promotion mechanism</x:v>
      </x:c>
      <x:c r="B10" s="53"/>
      <x:c r="C10" s="53"/>
      <x:c r="D10" s="53"/>
      <x:c r="E10" s="53"/>
      <x:c r="F10" s="53"/>
      <x:c r="G10" s="53"/>
    </x:row>
    <x:row r="11">
      <x:c r="A11" s="25" t="str">
        <x:v>Parallel support</x:v>
      </x:c>
      <x:c r="B11" s="53"/>
      <x:c r="C11" s="53"/>
      <x:c r="D11" s="53"/>
      <x:c r="E11" s="53"/>
      <x:c r="F11" s="53"/>
      <x:c r="G11" s="53"/>
    </x:row>
    <x:row r="12">
      <x:c r="A12" s="25" t="str">
        <x:v>Control placement</x:v>
      </x:c>
      <x:c r="B12" s="53"/>
      <x:c r="C12" s="53"/>
      <x:c r="D12" s="53"/>
      <x:c r="E12" s="53"/>
      <x:c r="F12" s="53"/>
      <x:c r="G12" s="53"/>
    </x:row>
    <x:row r="13">
      <x:c r="A13" s="25" t="str">
        <x:v>Repository topology</x:v>
      </x:c>
      <x:c r="B13" s="53"/>
      <x:c r="C13" s="53"/>
      <x:c r="D13" s="53"/>
      <x:c r="E13" s="53"/>
      <x:c r="F13" s="53"/>
      <x:c r="G13" s="53"/>
    </x:row>
    <x:row r="15" ht="30" customHeight="1">
      <x:c r="A15" s="24" t="str">
        <x:v>Classification result</x:v>
      </x:c>
      <x:c r="B15" s="24" t="str">
        <x:v>Declared profile</x:v>
      </x:c>
      <x:c r="C15" s="24" t="str">
        <x:v>Observed profile</x:v>
      </x:c>
      <x:c r="D15" s="24" t="str">
        <x:v>Overall confidence</x:v>
      </x:c>
      <x:c r="E15" s="24" t="str">
        <x:v>Material contradictions</x:v>
      </x:c>
      <x:c r="F15" s="24" t="str">
        <x:v>Custom/hybrid rationale</x:v>
      </x:c>
      <x:c r="G15" s="24" t="str">
        <x:v>Owner confirmation</x:v>
      </x:c>
    </x:row>
    <x:row r="16">
      <x:c r="A16" s="53"/>
      <x:c r="B16" s="53"/>
      <x:c r="C16" s="53"/>
      <x:c r="D16" s="53"/>
      <x:c r="E16" s="53"/>
      <x:c r="F16" s="53"/>
      <x:c r="G16" s="53"/>
    </x:row>
  </x:sheetData>
  <x:mergeCells>
    <x:mergeCell ref="A1:G1"/>
    <x:mergeCell ref="A2:G2"/>
  </x:mergeCells>
  <x:dataValidations count="5">
    <x:dataValidation type="list" sqref="E5:E13">
      <x:formula1>"No,Yes,Unknown"</x:formula1>
    </x:dataValidation>
    <x:dataValidation type="list" sqref="F5:F13">
      <x:formula1>"High,Moderate,Low"</x:formula1>
    </x:dataValidation>
    <x:dataValidation type="list" sqref="B16:C16">
      <x:formula1>"Trunk-based,GitHub Flow/short-lived feature branches,GitFlow,Environment-branch flow,Release train/multi-version maintenance,GitOps promotion,Fork/integration-manager,Direct gated trunk,Custom/hybrid,Unclassified"</x:formula1>
    </x:dataValidation>
    <x:dataValidation type="list" sqref="D16">
      <x:formula1>"High,Moderate,Low"</x:formula1>
    </x:dataValidation>
    <x:dataValidation type="list" sqref="A16">
      <x:formula1>"Aligned,Explained variation,Unresolved contradiction,Not assessable"</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9" hidden="0" customWidth="1"/>
    <x:col min="4" max="4" width="14" hidden="0" customWidth="1"/>
    <x:col min="5" max="5" width="34" hidden="0" customWidth="1"/>
    <x:col min="6" max="6" width="56" hidden="0" customWidth="1"/>
    <x:col min="7" max="7" width="16" hidden="0" customWidth="1"/>
    <x:col min="8" max="8" width="17" hidden="0" customWidth="1"/>
    <x:col min="9" max="9" width="14" hidden="0" customWidth="1"/>
    <x:col min="10" max="10" width="12" hidden="0" customWidth="1"/>
    <x:col min="11" max="11" width="14" hidden="0" customWidth="1"/>
    <x:col min="12" max="12" width="12" hidden="0" customWidth="1"/>
    <x:col min="13" max="13" width="20" hidden="0" customWidth="1"/>
    <x:col min="14" max="14" width="34" hidden="0" customWidth="1"/>
    <x:col min="15" max="15" width="15" hidden="0" customWidth="1"/>
    <x:col min="16" max="16" width="30" hidden="0" customWidth="1"/>
    <x:col min="17" max="17" width="12" hidden="0" customWidth="1"/>
    <x:col min="18" max="18" width="12" hidden="0" customWidth="1"/>
    <x:col min="19" max="19" width="10" hidden="0" customWidth="1"/>
    <x:col min="20" max="20" width="12" hidden="0" customWidth="1"/>
    <x:col min="21" max="21" width="14" hidden="0" customWidth="1"/>
    <x:col min="22" max="22" width="16" hidden="0" customWidth="1"/>
    <x:col min="23" max="23" width="18" hidden="0" customWidth="1"/>
    <x:col min="24" max="24" width="34" hidden="0" customWidth="1"/>
    <x:col min="25" max="25" width="42" hidden="0" customWidth="1"/>
    <x:col min="26" max="26" width="28" hidden="0" customWidth="1"/>
    <x:col min="27" max="27" width="36" hidden="0" customWidth="1"/>
    <x:col min="28" max="28" width="26" hidden="0" customWidth="1"/>
  </x:cols>
  <x:sheetData>
    <x:row r="1" ht="28" customHeight="1">
      <x:c r="A1" s="3" t="str">
        <x:v>Control Assessment</x:v>
      </x:c>
      <x:c r="B1" s="3" t="str">
        <x:v>Control Assessment</x:v>
      </x:c>
      <x:c r="C1" s="3" t="str">
        <x:v>Control Assessment</x:v>
      </x:c>
      <x:c r="D1" s="3" t="str">
        <x:v>Control Assessment</x:v>
      </x:c>
      <x:c r="E1" s="3" t="str">
        <x:v>Control Assessment</x:v>
      </x:c>
      <x:c r="F1" s="3" t="str">
        <x:v>Control Assessment</x:v>
      </x:c>
      <x:c r="G1" s="3" t="str">
        <x:v>Control Assessment</x:v>
      </x:c>
      <x:c r="H1" s="3" t="str">
        <x:v>Control Assessment</x:v>
      </x:c>
      <x:c r="I1" s="3" t="str">
        <x:v>Control Assessment</x:v>
      </x:c>
      <x:c r="J1" s="3" t="str">
        <x:v>Control Assessment</x:v>
      </x:c>
      <x:c r="K1" s="3" t="str">
        <x:v>Control Assessment</x:v>
      </x:c>
      <x:c r="L1" s="3" t="str">
        <x:v>Control Assessment</x:v>
      </x:c>
      <x:c r="M1" s="3" t="str">
        <x:v>Control Assessment</x:v>
      </x:c>
      <x:c r="N1" s="3" t="str">
        <x:v>Control Assessment</x:v>
      </x:c>
      <x:c r="O1" s="3" t="str">
        <x:v>Control Assessment</x:v>
      </x:c>
      <x:c r="P1" s="3" t="str">
        <x:v>Control Assessment</x:v>
      </x:c>
      <x:c r="Q1" s="3" t="str">
        <x:v>Control Assessment</x:v>
      </x:c>
      <x:c r="R1" s="3" t="str">
        <x:v>Control Assessment</x:v>
      </x:c>
      <x:c r="S1" s="3" t="str">
        <x:v>Control Assessment</x:v>
      </x:c>
      <x:c r="T1" s="3" t="str">
        <x:v>Control Assessment</x:v>
      </x:c>
      <x:c r="U1" s="3" t="str">
        <x:v>Control Assessment</x:v>
      </x:c>
      <x:c r="V1" s="3" t="str">
        <x:v>Control Assessment</x:v>
      </x:c>
      <x:c r="W1" s="3" t="str">
        <x:v>Control Assessment</x:v>
      </x:c>
      <x:c r="X1" s="3" t="str">
        <x:v>Control Assessment</x:v>
      </x:c>
      <x:c r="Y1" s="3" t="str">
        <x:v>Control Assessment</x:v>
      </x:c>
      <x:c r="Z1" s="3" t="str">
        <x:v>Control Assessment</x:v>
      </x:c>
      <x:c r="AA1" s="3" t="str">
        <x:v>Control Assessment</x:v>
      </x:c>
      <x:c r="AB1" s="3" t="str">
        <x:v>Control Assessment</x:v>
      </x:c>
    </x:row>
    <x:row r="2" ht="30" customHeight="1">
      <x:c r="A2" s="7" t="str">
        <x:v>Enter Conformance, Assurance, Freshness, Evidence IDs, notes, exceptions, and N/A rationale. Formulas enforce tier applicability, evidence minimums, and foundational-gate caps.</x:v>
      </x:c>
      <x:c r="B2" s="7" t="str">
        <x:v>Enter Conformance, Assurance, Freshness, Evidence IDs, notes, exceptions, and N/A rationale. Formulas enforce tier applicability, evidence minimums, and foundational-gate caps.</x:v>
      </x:c>
      <x:c r="C2" s="7" t="str">
        <x:v>Enter Conformance, Assurance, Freshness, Evidence IDs, notes, exceptions, and N/A rationale. Formulas enforce tier applicability, evidence minimums, and foundational-gate caps.</x:v>
      </x:c>
      <x:c r="D2" s="7" t="str">
        <x:v>Enter Conformance, Assurance, Freshness, Evidence IDs, notes, exceptions, and N/A rationale. Formulas enforce tier applicability, evidence minimums, and foundational-gate caps.</x:v>
      </x:c>
      <x:c r="E2" s="7" t="str">
        <x:v>Enter Conformance, Assurance, Freshness, Evidence IDs, notes, exceptions, and N/A rationale. Formulas enforce tier applicability, evidence minimums, and foundational-gate caps.</x:v>
      </x:c>
      <x:c r="F2" s="7" t="str">
        <x:v>Enter Conformance, Assurance, Freshness, Evidence IDs, notes, exceptions, and N/A rationale. Formulas enforce tier applicability, evidence minimums, and foundational-gate caps.</x:v>
      </x:c>
      <x:c r="G2" s="7" t="str">
        <x:v>Enter Conformance, Assurance, Freshness, Evidence IDs, notes, exceptions, and N/A rationale. Formulas enforce tier applicability, evidence minimums, and foundational-gate caps.</x:v>
      </x:c>
      <x:c r="H2" s="7" t="str">
        <x:v>Enter Conformance, Assurance, Freshness, Evidence IDs, notes, exceptions, and N/A rationale. Formulas enforce tier applicability, evidence minimums, and foundational-gate caps.</x:v>
      </x:c>
      <x:c r="I2" s="7" t="str">
        <x:v>Enter Conformance, Assurance, Freshness, Evidence IDs, notes, exceptions, and N/A rationale. Formulas enforce tier applicability, evidence minimums, and foundational-gate caps.</x:v>
      </x:c>
      <x:c r="J2" s="7" t="str">
        <x:v>Enter Conformance, Assurance, Freshness, Evidence IDs, notes, exceptions, and N/A rationale. Formulas enforce tier applicability, evidence minimums, and foundational-gate caps.</x:v>
      </x:c>
      <x:c r="K2" s="7" t="str">
        <x:v>Enter Conformance, Assurance, Freshness, Evidence IDs, notes, exceptions, and N/A rationale. Formulas enforce tier applicability, evidence minimums, and foundational-gate caps.</x:v>
      </x:c>
      <x:c r="L2" s="7" t="str">
        <x:v>Enter Conformance, Assurance, Freshness, Evidence IDs, notes, exceptions, and N/A rationale. Formulas enforce tier applicability, evidence minimums, and foundational-gate caps.</x:v>
      </x:c>
      <x:c r="M2" s="7" t="str">
        <x:v>Enter Conformance, Assurance, Freshness, Evidence IDs, notes, exceptions, and N/A rationale. Formulas enforce tier applicability, evidence minimums, and foundational-gate caps.</x:v>
      </x:c>
      <x:c r="N2" s="7" t="str">
        <x:v>Enter Conformance, Assurance, Freshness, Evidence IDs, notes, exceptions, and N/A rationale. Formulas enforce tier applicability, evidence minimums, and foundational-gate caps.</x:v>
      </x:c>
      <x:c r="O2" s="7" t="str">
        <x:v>Enter Conformance, Assurance, Freshness, Evidence IDs, notes, exceptions, and N/A rationale. Formulas enforce tier applicability, evidence minimums, and foundational-gate caps.</x:v>
      </x:c>
      <x:c r="P2" s="7" t="str">
        <x:v>Enter Conformance, Assurance, Freshness, Evidence IDs, notes, exceptions, and N/A rationale. Formulas enforce tier applicability, evidence minimums, and foundational-gate caps.</x:v>
      </x:c>
      <x:c r="Q2" s="7" t="str">
        <x:v>Enter Conformance, Assurance, Freshness, Evidence IDs, notes, exceptions, and N/A rationale. Formulas enforce tier applicability, evidence minimums, and foundational-gate caps.</x:v>
      </x:c>
      <x:c r="R2" s="7" t="str">
        <x:v>Enter Conformance, Assurance, Freshness, Evidence IDs, notes, exceptions, and N/A rationale. Formulas enforce tier applicability, evidence minimums, and foundational-gate caps.</x:v>
      </x:c>
      <x:c r="S2" s="7" t="str">
        <x:v>Enter Conformance, Assurance, Freshness, Evidence IDs, notes, exceptions, and N/A rationale. Formulas enforce tier applicability, evidence minimums, and foundational-gate caps.</x:v>
      </x:c>
      <x:c r="T2" s="7" t="str">
        <x:v>Enter Conformance, Assurance, Freshness, Evidence IDs, notes, exceptions, and N/A rationale. Formulas enforce tier applicability, evidence minimums, and foundational-gate caps.</x:v>
      </x:c>
      <x:c r="U2" s="7" t="str">
        <x:v>Enter Conformance, Assurance, Freshness, Evidence IDs, notes, exceptions, and N/A rationale. Formulas enforce tier applicability, evidence minimums, and foundational-gate caps.</x:v>
      </x:c>
      <x:c r="V2" s="7" t="str">
        <x:v>Enter Conformance, Assurance, Freshness, Evidence IDs, notes, exceptions, and N/A rationale. Formulas enforce tier applicability, evidence minimums, and foundational-gate caps.</x:v>
      </x:c>
      <x:c r="W2" s="7" t="str">
        <x:v>Enter Conformance, Assurance, Freshness, Evidence IDs, notes, exceptions, and N/A rationale. Formulas enforce tier applicability, evidence minimums, and foundational-gate caps.</x:v>
      </x:c>
      <x:c r="X2" s="7" t="str">
        <x:v>Enter Conformance, Assurance, Freshness, Evidence IDs, notes, exceptions, and N/A rationale. Formulas enforce tier applicability, evidence minimums, and foundational-gate caps.</x:v>
      </x:c>
      <x:c r="Y2" s="7" t="str">
        <x:v>Enter Conformance, Assurance, Freshness, Evidence IDs, notes, exceptions, and N/A rationale. Formulas enforce tier applicability, evidence minimums, and foundational-gate caps.</x:v>
      </x:c>
      <x:c r="Z2" s="7" t="str">
        <x:v>Enter Conformance, Assurance, Freshness, Evidence IDs, notes, exceptions, and N/A rationale. Formulas enforce tier applicability, evidence minimums, and foundational-gate caps.</x:v>
      </x:c>
      <x:c r="AA2" s="7" t="str">
        <x:v>Enter Conformance, Assurance, Freshness, Evidence IDs, notes, exceptions, and N/A rationale. Formulas enforce tier applicability, evidence minimums, and foundational-gate caps.</x:v>
      </x:c>
      <x:c r="AB2" s="7" t="str">
        <x:v>Enter Conformance, Assurance, Freshness, Evidence IDs, notes, exceptions, and N/A rationale. Formulas enforce tier applicability, evidence minimums, and foundational-gate caps.</x:v>
      </x:c>
    </x:row>
    <x:row r="4" ht="30" customHeight="1">
      <x:c r="A4" s="24" t="str">
        <x:v>Control ID</x:v>
      </x:c>
      <x:c r="B4" s="24" t="str">
        <x:v>Dimension</x:v>
      </x:c>
      <x:c r="C4" s="24" t="str">
        <x:v>Gate</x:v>
      </x:c>
      <x:c r="D4" s="24" t="str">
        <x:v>Minimum tier</x:v>
      </x:c>
      <x:c r="E4" s="24" t="str">
        <x:v>Applicability</x:v>
      </x:c>
      <x:c r="F4" s="24" t="str">
        <x:v>Normative requirement</x:v>
      </x:c>
      <x:c r="G4" s="24" t="str">
        <x:v>Minimum assurance</x:v>
      </x:c>
      <x:c r="H4" s="24" t="str">
        <x:v>Conformance</x:v>
      </x:c>
      <x:c r="I4" s="24" t="str">
        <x:v>Conformance points</x:v>
      </x:c>
      <x:c r="J4" s="24" t="str">
        <x:v>Assurance</x:v>
      </x:c>
      <x:c r="K4" s="24" t="str">
        <x:v>Assurance level</x:v>
      </x:c>
      <x:c r="L4" s="24" t="str">
        <x:v>Fresh?</x:v>
      </x:c>
      <x:c r="M4" s="24" t="str">
        <x:v>Evidence IDs</x:v>
      </x:c>
      <x:c r="N4" s="24" t="str">
        <x:v>Assessor notes</x:v>
      </x:c>
      <x:c r="O4" s="24" t="str">
        <x:v>Decision / exception ID</x:v>
      </x:c>
      <x:c r="P4" s="24" t="str">
        <x:v>N/A rationale</x:v>
      </x:c>
      <x:c r="Q4" s="24" t="str">
        <x:v>Tier applies</x:v>
      </x:c>
      <x:c r="R4" s="24" t="str">
        <x:v>Earned points</x:v>
      </x:c>
      <x:c r="S4" s="24" t="str">
        <x:v>Max points</x:v>
      </x:c>
      <x:c r="T4" s="24" t="str">
        <x:v>Gate result</x:v>
      </x:c>
      <x:c r="U4" s="24" t="str">
        <x:v>Evidence covered</x:v>
      </x:c>
      <x:c r="V4" s="24" t="str">
        <x:v>Weighted assurance</x:v>
      </x:c>
      <x:c r="W4" s="24" t="str">
        <x:v>Metric IDs</x:v>
      </x:c>
      <x:c r="X4" s="24" t="str">
        <x:v>Threshold</x:v>
      </x:c>
      <x:c r="Y4" s="24" t="str">
        <x:v>Source IDs / URL</x:v>
      </x:c>
      <x:c r="Z4" s="24" t="str">
        <x:v>Grade effect</x:v>
      </x:c>
      <x:c r="AA4" s="24" t="str">
        <x:v>Remediation outcome</x:v>
      </x:c>
      <x:c r="AB4" s="24" t="str">
        <x:v>Quality check</x:v>
      </x:c>
    </x:row>
    <x:row r="5">
      <x:c r="A5" s="55" t="str">
        <x:v>SPI-01</x:v>
      </x:c>
      <x:c r="B5" s="55" t="str">
        <x:v>Source-to-production integrity</x:v>
      </x:c>
      <x:c r="C5" s="55" t="str">
        <x:v>G-01</x:v>
      </x:c>
      <x:c r="D5" s="55" t="str">
        <x:v>Baseline</x:v>
      </x:c>
      <x:c r="E5" s="55" t="str">
        <x:v>Baseline, Elevated, Critical; every repository, including mirrors, sandboxes, and archived repositories under its type-specific contract. For non-code repositories, “build” means the declared authoritative validation, rendering, schema, integrity, synchronization, or archival-readability check. For an archive, “releasable” means that retained source/output can be reconstructed or its non-releasable disposition is explicitly validated under the archive contract.</x:v>
      </x:c>
      <x:c r="F5" s="55" t="str">
        <x:v>The exact HEAD revision of Main MUST have successful authoritative build and validation results and MUST satisfy the type-specific releasability or disposition contract; the repository MUST NOT knowingly leave Main in a failed state.</x:v>
      </x:c>
      <x:c r="G5" s="55" t="str">
        <x:v>E3</x:v>
      </x:c>
      <x:c r="H5" s="51" t="str">
        <x:v>Unknown</x:v>
      </x:c>
      <x:c r="I5" s="55" t="n">
        <x:f>IF($A5="","",IF($H5="Met",1,IF($H5="Partially met",0.5,IF(OR($H5="Unmet",$H5="Unknown"),0,""))))</x:f>
        <x:v>0</x:v>
      </x:c>
      <x:c r="J5" s="51" t="str">
        <x:v>E0</x:v>
      </x:c>
      <x:c r="K5" s="55" t="n">
        <x:f>IF($A5="","",IF($J5="E4",4,IF($J5="E3",3,IF($J5="E2",2,IF($J5="E1",1,0)))))</x:f>
        <x:v>0</x:v>
      </x:c>
      <x:c r="L5" s="51" t="str">
        <x:v>Unknown</x:v>
      </x:c>
      <x:c r="M5" s="51" t="str"/>
      <x:c r="N5" s="51" t="str"/>
      <x:c r="O5" s="51" t="str"/>
      <x:c r="P5" s="51" t="str"/>
      <x:c r="Q5" s="55" t="n">
        <x:f>IF($A5="","",IF($D5="Baseline",1,IF($D5="Elevated",IF(OR('Profile'!$B$11="Elevated",'Profile'!$B$11="Critical"),1,0),IF($D5="Critical",IF('Profile'!$B$11="Critical",1,0),1))))</x:f>
        <x:v>1</x:v>
      </x:c>
      <x:c r="R5" s="55" t="n">
        <x:f>IF($A5="","",IF($Q5=0,0,IF($H5="N/A",0,IF($H5="Met",IF(AND($K5&gt;=VALUE(RIGHT($G5,1)),$L5="Yes"),1,0),IF($H5="Partially met",IF(AND($K5&gt;=1,$L5="Yes"),0.5,0),0)))))</x:f>
        <x:v>0</x:v>
      </x:c>
      <x:c r="S5" s="55" t="n">
        <x:f>IF($A5="","",IF($Q5=0,0,IF($H5="N/A",IF(AND($P5&lt;&gt;"",$O5&lt;&gt;"",IFERROR(VLOOKUP($O5,'Exceptions'!$A$5:$M$204,2,FALSE),"")="N/A determination",IFERROR(VLOOKUP($O5,'Exceptions'!$A$5:$M$204,13,FALSE),"")="Active",IFERROR(ISNUMBER(SEARCH($A5,IFERROR(VLOOKUP($O5,'Exceptions'!$A$5:$M$204,3,FALSE),""))),FALSE)),0,1),1)))</x:f>
        <x:v>1</x:v>
      </x:c>
      <x:c r="T5" s="55" t="str">
        <x:f>IF($A5="","",IF($C5="","",IF($H5="N/A",IF(AND($P5&lt;&gt;"",$O5&lt;&gt;"",IFERROR(VLOOKUP($O5,'Exceptions'!$A$5:$M$204,2,FALSE),"")="N/A determination",IFERROR(VLOOKUP($O5,'Exceptions'!$A$5:$M$204,13,FALSE),"")="Active",IFERROR(ISNUMBER(SEARCH($A5,IFERROR(VLOOKUP($O5,'Exceptions'!$A$5:$M$204,3,FALSE),""))),FALSE)),"N/A","FAIL"),IF(OR($H5="Unknown",$H5="",$K5=0,$L5&lt;&gt;"Yes"),"UNKNOWN",IF($H5="Met",IF($K5&gt;=VALUE(RIGHT($G5,1)),"PASS","UNKNOWN"),IF(OR($H5="Partially met",$H5="Unmet"),"FAIL","UNKNOWN"))))))</x:f>
        <x:v>UNKNOWN</x:v>
      </x:c>
      <x:c r="U5" s="55" t="n">
        <x:f>IF($A5="","",IF($S5=0,0,IF(AND($K5&gt;=1,$L5="Yes"),1,0)))</x:f>
        <x:v>0</x:v>
      </x:c>
      <x:c r="V5" s="55" t="n">
        <x:f>IF($A5="","",IF(OR($S5=0,$H5="N/A",$L5&lt;&gt;"Yes"),0,$K5))</x:f>
        <x:v>0</x:v>
      </x:c>
      <x:c r="W5" s="55" t="str">
        <x:v>M-SPI-01 (Main validity state) and M-SPI-01T (Main invalid-duration trend).</x:v>
      </x:c>
      <x:c r="X5" s="55" t="str">
        <x:v>M-SPI-01 must be Pass. M-SPI-01T is Pass at no more than 1% invalid time, Concern above 1% through 5%, and Fail above 5% in the observation window.</x:v>
      </x:c>
      <x:c r="Y5" s="55" t="str">
        <x:v>SRC-001, SRC-004, SRC-008, SRC-009, SRC-010, SRC-013 | https://baseline.openssf.org/versions/2026-02-19.html</x:v>
      </x:c>
      <x:c r="Z5" s="55" t="str">
        <x:v>Scored once in SPI using the worst applicable threshold band across M-SPI-01 and M-SPI-01T; a documented No Events result for M-SPI-01T carries the M-SPI-01 band and does not create an extra point. G-01 is determined only by M-SPI-01; Fail or Unknown caps the overall grade at D.</x:v>
      </x:c>
      <x:c r="AA5" s="55" t="str">
        <x:v>Define one authoritative validation path, run it on the exact Main SHA, make it required, and repair or revert the breaking change.</x:v>
      </x:c>
      <x:c r="AB5" s="55" t="str">
        <x:f>IF($A5="","",IF(AND($Q5=1,$H5="N/A",NOT(AND($P5&lt;&gt;"",$O5&lt;&gt;"",IFERROR(VLOOKUP($O5,'Exceptions'!$A$5:$M$204,2,FALSE),"")="N/A determination",IFERROR(VLOOKUP($O5,'Exceptions'!$A$5:$M$204,13,FALSE),"")="Active",IFERROR(ISNUMBER(SEARCH($A5,IFERROR(VLOOKUP($O5,'Exceptions'!$A$5:$M$204,3,FALSE),""))),FALSE)))),"MISSING OR INVALID N/A DECISION",IF(AND($Q5=1,OR($H5="Partially met",$H5="Unmet"),OR($K5&lt;1,$L5&lt;&gt;"Yes")),"KNOWN RATING NEEDS FRESH E1",IF(AND($Q5=1,$H5="Met",OR($K5&lt;VALUE(RIGHT($G5,1)),$L5&lt;&gt;"Yes")),"EVIDENCE BELOW MINIMUM",IF(AND($Q5=1,OR($H5="",$H5="Unknown")),"UNASSESSED",IF(AND($H5="N/A",AND($P5&lt;&gt;"",$O5&lt;&gt;"",IFERROR(VLOOKUP($O5,'Exceptions'!$A$5:$M$204,2,FALSE),"")="N/A determination",IFERROR(VLOOKUP($O5,'Exceptions'!$A$5:$M$204,13,FALSE),"")="Active",IFERROR(ISNUMBER(SEARCH($A5,IFERROR(VLOOKUP($O5,'Exceptions'!$A$5:$M$204,3,FALSE),""))),FALSE))),"N/A APPROVED",IF($O5&lt;&gt;"","EXCEPTION REVIEW","OK")))))))</x:f>
        <x:v>UNASSESSED</x:v>
      </x:c>
    </x:row>
    <x:row r="6">
      <x:c r="A6" s="55" t="str">
        <x:v>SPI-02</x:v>
      </x:c>
      <x:c r="B6" s="55" t="str">
        <x:v>Source-to-production integrity</x:v>
      </x:c>
      <x:c r="C6" s="55" t="str">
        <x:v>G-02</x:v>
      </x:c>
      <x:c r="D6" s="55" t="str">
        <x:v>Baseline</x:v>
      </x:c>
      <x:c r="E6" s="55" t="str">
        <x:v>Baseline, Elevated, Critical whenever any current output is deployed, published, applied, distributed, or has a supported operational consumer. Applicability is evaluated independently per deployable unit, including units in archived repositories.</x:v>
      </x:c>
      <x:c r="F6" s="55" t="str">
        <x:v>Each current production, published, distributed, applied, or supported output MUST identify an immutable source revision reachable from Main and the immutable artifact or content identity derived from that revision.</x:v>
      </x:c>
      <x:c r="G6" s="55" t="str">
        <x:v>E3</x:v>
      </x:c>
      <x:c r="H6" s="51" t="str">
        <x:v>Unknown</x:v>
      </x:c>
      <x:c r="I6" s="55" t="n">
        <x:f>IF($A6="","",IF($H6="Met",1,IF($H6="Partially met",0.5,IF(OR($H6="Unmet",$H6="Unknown"),0,""))))</x:f>
        <x:v>0</x:v>
      </x:c>
      <x:c r="J6" s="51" t="str">
        <x:v>E0</x:v>
      </x:c>
      <x:c r="K6" s="55" t="n">
        <x:f>IF($A6="","",IF($J6="E4",4,IF($J6="E3",3,IF($J6="E2",2,IF($J6="E1",1,0)))))</x:f>
        <x:v>0</x:v>
      </x:c>
      <x:c r="L6" s="51" t="str">
        <x:v>Unknown</x:v>
      </x:c>
      <x:c r="M6" s="51" t="str"/>
      <x:c r="N6" s="51" t="str"/>
      <x:c r="O6" s="51" t="str"/>
      <x:c r="P6" s="51" t="str"/>
      <x:c r="Q6" s="55" t="n">
        <x:f>IF($A6="","",IF($D6="Baseline",1,IF($D6="Elevated",IF(OR('Profile'!$B$11="Elevated",'Profile'!$B$11="Critical"),1,0),IF($D6="Critical",IF('Profile'!$B$11="Critical",1,0),1))))</x:f>
        <x:v>1</x:v>
      </x:c>
      <x:c r="R6" s="55" t="n">
        <x:f>IF($A6="","",IF($Q6=0,0,IF($H6="N/A",0,IF($H6="Met",IF(AND($K6&gt;=VALUE(RIGHT($G6,1)),$L6="Yes"),1,0),IF($H6="Partially met",IF(AND($K6&gt;=1,$L6="Yes"),0.5,0),0)))))</x:f>
        <x:v>0</x:v>
      </x:c>
      <x:c r="S6" s="55" t="n">
        <x:f>IF($A6="","",IF($Q6=0,0,IF($H6="N/A",IF(AND($P6&lt;&gt;"",$O6&lt;&gt;"",IFERROR(VLOOKUP($O6,'Exceptions'!$A$5:$M$204,2,FALSE),"")="N/A determination",IFERROR(VLOOKUP($O6,'Exceptions'!$A$5:$M$204,13,FALSE),"")="Active",IFERROR(ISNUMBER(SEARCH($A6,IFERROR(VLOOKUP($O6,'Exceptions'!$A$5:$M$204,3,FALSE),""))),FALSE)),0,1),1)))</x:f>
        <x:v>1</x:v>
      </x:c>
      <x:c r="T6" s="55" t="str">
        <x:f>IF($A6="","",IF($C6="","",IF($H6="N/A",IF(AND($P6&lt;&gt;"",$O6&lt;&gt;"",IFERROR(VLOOKUP($O6,'Exceptions'!$A$5:$M$204,2,FALSE),"")="N/A determination",IFERROR(VLOOKUP($O6,'Exceptions'!$A$5:$M$204,13,FALSE),"")="Active",IFERROR(ISNUMBER(SEARCH($A6,IFERROR(VLOOKUP($O6,'Exceptions'!$A$5:$M$204,3,FALSE),""))),FALSE)),"N/A","FAIL"),IF(OR($H6="Unknown",$H6="",$K6=0,$L6&lt;&gt;"Yes"),"UNKNOWN",IF($H6="Met",IF($K6&gt;=VALUE(RIGHT($G6,1)),"PASS","UNKNOWN"),IF(OR($H6="Partially met",$H6="Unmet"),"FAIL","UNKNOWN"))))))</x:f>
        <x:v>UNKNOWN</x:v>
      </x:c>
      <x:c r="U6" s="55" t="n">
        <x:f>IF($A6="","",IF($S6=0,0,IF(AND($K6&gt;=1,$L6="Yes"),1,0)))</x:f>
        <x:v>0</x:v>
      </x:c>
      <x:c r="V6" s="55" t="n">
        <x:f>IF($A6="","",IF(OR($S6=0,$H6="N/A",$L6&lt;&gt;"Yes"),0,$K6))</x:f>
        <x:v>0</x:v>
      </x:c>
      <x:c r="W6" s="55" t="str">
        <x:v>M-SPI-02S (current traceability state) and M-SPI-02 (traceability rate).</x:v>
      </x:c>
      <x:c r="X6" s="55" t="str">
        <x:v>M-SPI-02S must be 100%. M-SPI-02 is Pass at 100%, Concern from 95% to below 100%, and Fail below 95%.</x:v>
      </x:c>
      <x:c r="Y6" s="55" t="str">
        <x:v>SRC-001, SRC-005, SRC-011, SRC-019, SRC-020 | https://slsa.dev/spec/v1.2/</x:v>
      </x:c>
      <x:c r="Z6" s="55" t="str">
        <x:v>Scored once in SPI using the worst applicable threshold band across M-SPI-02S and M-SPI-02; a documented No Events result for M-SPI-02 carries the M-SPI-02S band and does not create an extra point. G-02 is determined only by M-SPI-02S; Fail or Unknown caps the overall grade at D.</x:v>
      </x:c>
      <x:c r="AA6" s="55" t="str">
        <x:v>Record the deployed revision and immutable artifact identity at release/deploy time; reconcile all current environments and publications.</x:v>
      </x:c>
      <x:c r="AB6" s="55" t="str">
        <x:f>IF($A6="","",IF(AND($Q6=1,$H6="N/A",NOT(AND($P6&lt;&gt;"",$O6&lt;&gt;"",IFERROR(VLOOKUP($O6,'Exceptions'!$A$5:$M$204,2,FALSE),"")="N/A determination",IFERROR(VLOOKUP($O6,'Exceptions'!$A$5:$M$204,13,FALSE),"")="Active",IFERROR(ISNUMBER(SEARCH($A6,IFERROR(VLOOKUP($O6,'Exceptions'!$A$5:$M$204,3,FALSE),""))),FALSE)))),"MISSING OR INVALID N/A DECISION",IF(AND($Q6=1,OR($H6="Partially met",$H6="Unmet"),OR($K6&lt;1,$L6&lt;&gt;"Yes")),"KNOWN RATING NEEDS FRESH E1",IF(AND($Q6=1,$H6="Met",OR($K6&lt;VALUE(RIGHT($G6,1)),$L6&lt;&gt;"Yes")),"EVIDENCE BELOW MINIMUM",IF(AND($Q6=1,OR($H6="",$H6="Unknown")),"UNASSESSED",IF(AND($H6="N/A",AND($P6&lt;&gt;"",$O6&lt;&gt;"",IFERROR(VLOOKUP($O6,'Exceptions'!$A$5:$M$204,2,FALSE),"")="N/A determination",IFERROR(VLOOKUP($O6,'Exceptions'!$A$5:$M$204,13,FALSE),"")="Active",IFERROR(ISNUMBER(SEARCH($A6,IFERROR(VLOOKUP($O6,'Exceptions'!$A$5:$M$204,3,FALSE),""))),FALSE))),"N/A APPROVED",IF($O6&lt;&gt;"","EXCEPTION REVIEW","OK")))))))</x:f>
        <x:v>UNASSESSED</x:v>
      </x:c>
    </x:row>
    <x:row r="7">
      <x:c r="A7" s="55" t="str">
        <x:v>SPI-03</x:v>
      </x:c>
      <x:c r="B7" s="55" t="str">
        <x:v>Source-to-production integrity</x:v>
      </x:c>
      <x:c r="C7" s="55" t="str"/>
      <x:c r="D7" s="55" t="str">
        <x:v>Baseline</x:v>
      </x:c>
      <x:c r="E7" s="55" t="str">
        <x:v>Elevated and Critical; Baseline for repositories that publish reusable artifacts.</x:v>
      </x:c>
      <x:c r="F7" s="55" t="str">
        <x:v>Released artifacts and release labels MUST be immutable, uniquely identifiable, and linked to verifiable build or publication provenance appropriate to the risk tier.</x:v>
      </x:c>
      <x:c r="G7" s="55" t="str">
        <x:v>E3</x:v>
      </x:c>
      <x:c r="H7" s="51" t="str">
        <x:v>Unknown</x:v>
      </x:c>
      <x:c r="I7" s="55" t="n">
        <x:f>IF($A7="","",IF($H7="Met",1,IF($H7="Partially met",0.5,IF(OR($H7="Unmet",$H7="Unknown"),0,""))))</x:f>
        <x:v>0</x:v>
      </x:c>
      <x:c r="J7" s="51" t="str">
        <x:v>E0</x:v>
      </x:c>
      <x:c r="K7" s="55" t="n">
        <x:f>IF($A7="","",IF($J7="E4",4,IF($J7="E3",3,IF($J7="E2",2,IF($J7="E1",1,0)))))</x:f>
        <x:v>0</x:v>
      </x:c>
      <x:c r="L7" s="51" t="str">
        <x:v>Unknown</x:v>
      </x:c>
      <x:c r="M7" s="51" t="str"/>
      <x:c r="N7" s="51" t="str"/>
      <x:c r="O7" s="51" t="str"/>
      <x:c r="P7" s="51" t="str"/>
      <x:c r="Q7" s="55" t="n">
        <x:f>IF($A7="","",IF($D7="Baseline",1,IF($D7="Elevated",IF(OR('Profile'!$B$11="Elevated",'Profile'!$B$11="Critical"),1,0),IF($D7="Critical",IF('Profile'!$B$11="Critical",1,0),1))))</x:f>
        <x:v>1</x:v>
      </x:c>
      <x:c r="R7" s="55" t="n">
        <x:f>IF($A7="","",IF($Q7=0,0,IF($H7="N/A",0,IF($H7="Met",IF(AND($K7&gt;=VALUE(RIGHT($G7,1)),$L7="Yes"),1,0),IF($H7="Partially met",IF(AND($K7&gt;=1,$L7="Yes"),0.5,0),0)))))</x:f>
        <x:v>0</x:v>
      </x:c>
      <x:c r="S7" s="55" t="n">
        <x:f>IF($A7="","",IF($Q7=0,0,IF($H7="N/A",IF(AND($P7&lt;&gt;"",$O7&lt;&gt;"",IFERROR(VLOOKUP($O7,'Exceptions'!$A$5:$M$204,2,FALSE),"")="N/A determination",IFERROR(VLOOKUP($O7,'Exceptions'!$A$5:$M$204,13,FALSE),"")="Active",IFERROR(ISNUMBER(SEARCH($A7,IFERROR(VLOOKUP($O7,'Exceptions'!$A$5:$M$204,3,FALSE),""))),FALSE)),0,1),1)))</x:f>
        <x:v>1</x:v>
      </x:c>
      <x:c r="T7" s="55" t="str">
        <x:f>IF($A7="","",IF($C7="","",IF($H7="N/A",IF(AND($P7&lt;&gt;"",$O7&lt;&gt;"",IFERROR(VLOOKUP($O7,'Exceptions'!$A$5:$M$204,2,FALSE),"")="N/A determination",IFERROR(VLOOKUP($O7,'Exceptions'!$A$5:$M$204,13,FALSE),"")="Active",IFERROR(ISNUMBER(SEARCH($A7,IFERROR(VLOOKUP($O7,'Exceptions'!$A$5:$M$204,3,FALSE),""))),FALSE)),"N/A","FAIL"),IF(OR($H7="Unknown",$H7="",$K7=0,$L7&lt;&gt;"Yes"),"UNKNOWN",IF($H7="Met",IF($K7&gt;=VALUE(RIGHT($G7,1)),"PASS","UNKNOWN"),IF(OR($H7="Partially met",$H7="Unmet"),"FAIL","UNKNOWN"))))))</x:f>
      </x:c>
      <x:c r="U7" s="55" t="n">
        <x:f>IF($A7="","",IF($S7=0,0,IF(AND($K7&gt;=1,$L7="Yes"),1,0)))</x:f>
        <x:v>0</x:v>
      </x:c>
      <x:c r="V7" s="55" t="n">
        <x:f>IF($A7="","",IF(OR($S7=0,$H7="N/A",$L7&lt;&gt;"Yes"),0,$K7))</x:f>
        <x:v>0</x:v>
      </x:c>
      <x:c r="W7" s="55" t="str">
        <x:v>M-SPI-03 (immutable release identity coverage).</x:v>
      </x:c>
      <x:c r="X7" s="55" t="str">
        <x:v>Pass at 100%; Concern from 95% to below 100%; Fail below 95% or when any currently supported release has been overwritten.</x:v>
      </x:c>
      <x:c r="Y7" s="55" t="str">
        <x:v>SRC-001, SRC-004, SRC-005, SRC-019, SRC-020 | https://baseline.openssf.org/versions/2026-02-19.html</x:v>
      </x:c>
      <x:c r="Z7" s="55" t="str">
        <x:v>Scored only in SPI; no standalone grade cap.</x:v>
      </x:c>
      <x:c r="AA7" s="55" t="str">
        <x:v>Protect release tags, disable version overwrite, capture digests, and generate provenance at build/publication time.</x:v>
      </x:c>
      <x:c r="AB7" s="55" t="str">
        <x:f>IF($A7="","",IF(AND($Q7=1,$H7="N/A",NOT(AND($P7&lt;&gt;"",$O7&lt;&gt;"",IFERROR(VLOOKUP($O7,'Exceptions'!$A$5:$M$204,2,FALSE),"")="N/A determination",IFERROR(VLOOKUP($O7,'Exceptions'!$A$5:$M$204,13,FALSE),"")="Active",IFERROR(ISNUMBER(SEARCH($A7,IFERROR(VLOOKUP($O7,'Exceptions'!$A$5:$M$204,3,FALSE),""))),FALSE)))),"MISSING OR INVALID N/A DECISION",IF(AND($Q7=1,OR($H7="Partially met",$H7="Unmet"),OR($K7&lt;1,$L7&lt;&gt;"Yes")),"KNOWN RATING NEEDS FRESH E1",IF(AND($Q7=1,$H7="Met",OR($K7&lt;VALUE(RIGHT($G7,1)),$L7&lt;&gt;"Yes")),"EVIDENCE BELOW MINIMUM",IF(AND($Q7=1,OR($H7="",$H7="Unknown")),"UNASSESSED",IF(AND($H7="N/A",AND($P7&lt;&gt;"",$O7&lt;&gt;"",IFERROR(VLOOKUP($O7,'Exceptions'!$A$5:$M$204,2,FALSE),"")="N/A determination",IFERROR(VLOOKUP($O7,'Exceptions'!$A$5:$M$204,13,FALSE),"")="Active",IFERROR(ISNUMBER(SEARCH($A7,IFERROR(VLOOKUP($O7,'Exceptions'!$A$5:$M$204,3,FALSE),""))),FALSE))),"N/A APPROVED",IF($O7&lt;&gt;"","EXCEPTION REVIEW","OK")))))))</x:f>
        <x:v>UNASSESSED</x:v>
      </x:c>
    </x:row>
    <x:row r="8">
      <x:c r="A8" s="55" t="str">
        <x:v>SPI-04</x:v>
      </x:c>
      <x:c r="B8" s="55" t="str">
        <x:v>Source-to-production integrity</x:v>
      </x:c>
      <x:c r="C8" s="55" t="str"/>
      <x:c r="D8" s="55" t="str">
        <x:v>Baseline</x:v>
      </x:c>
      <x:c r="E8" s="55" t="str">
        <x:v>Elevated and Critical; Baseline when an output is deployed or published.</x:v>
      </x:c>
      <x:c r="F8" s="55" t="str">
        <x:v>The repository MUST declare and continuously evidence one production-correspondence contract—Exact-Main, Releasable-Main, Production-Ref, or a per-unit combination—and MUST surface drift from that contract.</x:v>
      </x:c>
      <x:c r="G8" s="55" t="str">
        <x:v>E3</x:v>
      </x:c>
      <x:c r="H8" s="51" t="str">
        <x:v>Unknown</x:v>
      </x:c>
      <x:c r="I8" s="55" t="n">
        <x:f>IF($A8="","",IF($H8="Met",1,IF($H8="Partially met",0.5,IF(OR($H8="Unmet",$H8="Unknown"),0,""))))</x:f>
        <x:v>0</x:v>
      </x:c>
      <x:c r="J8" s="51" t="str">
        <x:v>E0</x:v>
      </x:c>
      <x:c r="K8" s="55" t="n">
        <x:f>IF($A8="","",IF($J8="E4",4,IF($J8="E3",3,IF($J8="E2",2,IF($J8="E1",1,0)))))</x:f>
        <x:v>0</x:v>
      </x:c>
      <x:c r="L8" s="51" t="str">
        <x:v>Unknown</x:v>
      </x:c>
      <x:c r="M8" s="51" t="str"/>
      <x:c r="N8" s="51" t="str"/>
      <x:c r="O8" s="51" t="str"/>
      <x:c r="P8" s="51" t="str"/>
      <x:c r="Q8" s="55" t="n">
        <x:f>IF($A8="","",IF($D8="Baseline",1,IF($D8="Elevated",IF(OR('Profile'!$B$11="Elevated",'Profile'!$B$11="Critical"),1,0),IF($D8="Critical",IF('Profile'!$B$11="Critical",1,0),1))))</x:f>
        <x:v>1</x:v>
      </x:c>
      <x:c r="R8" s="55" t="n">
        <x:f>IF($A8="","",IF($Q8=0,0,IF($H8="N/A",0,IF($H8="Met",IF(AND($K8&gt;=VALUE(RIGHT($G8,1)),$L8="Yes"),1,0),IF($H8="Partially met",IF(AND($K8&gt;=1,$L8="Yes"),0.5,0),0)))))</x:f>
        <x:v>0</x:v>
      </x:c>
      <x:c r="S8" s="55" t="n">
        <x:f>IF($A8="","",IF($Q8=0,0,IF($H8="N/A",IF(AND($P8&lt;&gt;"",$O8&lt;&gt;"",IFERROR(VLOOKUP($O8,'Exceptions'!$A$5:$M$204,2,FALSE),"")="N/A determination",IFERROR(VLOOKUP($O8,'Exceptions'!$A$5:$M$204,13,FALSE),"")="Active",IFERROR(ISNUMBER(SEARCH($A8,IFERROR(VLOOKUP($O8,'Exceptions'!$A$5:$M$204,3,FALSE),""))),FALSE)),0,1),1)))</x:f>
        <x:v>1</x:v>
      </x:c>
      <x:c r="T8" s="55" t="str">
        <x:f>IF($A8="","",IF($C8="","",IF($H8="N/A",IF(AND($P8&lt;&gt;"",$O8&lt;&gt;"",IFERROR(VLOOKUP($O8,'Exceptions'!$A$5:$M$204,2,FALSE),"")="N/A determination",IFERROR(VLOOKUP($O8,'Exceptions'!$A$5:$M$204,13,FALSE),"")="Active",IFERROR(ISNUMBER(SEARCH($A8,IFERROR(VLOOKUP($O8,'Exceptions'!$A$5:$M$204,3,FALSE),""))),FALSE)),"N/A","FAIL"),IF(OR($H8="Unknown",$H8="",$K8=0,$L8&lt;&gt;"Yes"),"UNKNOWN",IF($H8="Met",IF($K8&gt;=VALUE(RIGHT($G8,1)),"PASS","UNKNOWN"),IF(OR($H8="Partially met",$H8="Unmet"),"FAIL","UNKNOWN"))))))</x:f>
      </x:c>
      <x:c r="U8" s="55" t="n">
        <x:f>IF($A8="","",IF($S8=0,0,IF(AND($K8&gt;=1,$L8="Yes"),1,0)))</x:f>
        <x:v>0</x:v>
      </x:c>
      <x:c r="V8" s="55" t="n">
        <x:f>IF($A8="","",IF(OR($S8=0,$H8="N/A",$L8&lt;&gt;"Yes"),0,$K8))</x:f>
        <x:v>0</x:v>
      </x:c>
      <x:c r="W8" s="55" t="str">
        <x:v>M-SPI-04 (production-correspondence compliance).</x:v>
      </x:c>
      <x:c r="X8" s="55" t="str">
        <x:v>Pass at 100%; Concern from 95% to below 100% over the window while current state conforms; Fail below 95% or whenever current state violates the contract.</x:v>
      </x:c>
      <x:c r="Y8" s="55" t="str">
        <x:v>SRC-001, SRC-011, SRC-014, SRC-015, SRC-016 | https://docs.github.com/en/graphql/reference/deployments</x:v>
      </x:c>
      <x:c r="Z8" s="55" t="str">
        <x:v>Scored only in SPI. The same evidence is evaluated separately against SPI-02 when current production identity is not trustworthy; this control earns no duplicate points.</x:v>
      </x:c>
      <x:c r="AA8" s="55" t="str">
        <x:v>Select the appropriate contract, document it per unit, capture exact identities, and reconcile or explicitly retire drifted deployments.</x:v>
      </x:c>
      <x:c r="AB8" s="55" t="str">
        <x:f>IF($A8="","",IF(AND($Q8=1,$H8="N/A",NOT(AND($P8&lt;&gt;"",$O8&lt;&gt;"",IFERROR(VLOOKUP($O8,'Exceptions'!$A$5:$M$204,2,FALSE),"")="N/A determination",IFERROR(VLOOKUP($O8,'Exceptions'!$A$5:$M$204,13,FALSE),"")="Active",IFERROR(ISNUMBER(SEARCH($A8,IFERROR(VLOOKUP($O8,'Exceptions'!$A$5:$M$204,3,FALSE),""))),FALSE)))),"MISSING OR INVALID N/A DECISION",IF(AND($Q8=1,OR($H8="Partially met",$H8="Unmet"),OR($K8&lt;1,$L8&lt;&gt;"Yes")),"KNOWN RATING NEEDS FRESH E1",IF(AND($Q8=1,$H8="Met",OR($K8&lt;VALUE(RIGHT($G8,1)),$L8&lt;&gt;"Yes")),"EVIDENCE BELOW MINIMUM",IF(AND($Q8=1,OR($H8="",$H8="Unknown")),"UNASSESSED",IF(AND($H8="N/A",AND($P8&lt;&gt;"",$O8&lt;&gt;"",IFERROR(VLOOKUP($O8,'Exceptions'!$A$5:$M$204,2,FALSE),"")="N/A determination",IFERROR(VLOOKUP($O8,'Exceptions'!$A$5:$M$204,13,FALSE),"")="Active",IFERROR(ISNUMBER(SEARCH($A8,IFERROR(VLOOKUP($O8,'Exceptions'!$A$5:$M$204,3,FALSE),""))),FALSE))),"N/A APPROVED",IF($O8&lt;&gt;"","EXCEPTION REVIEW","OK")))))))</x:f>
        <x:v>UNASSESSED</x:v>
      </x:c>
    </x:row>
    <x:row r="9">
      <x:c r="A9" s="55" t="str">
        <x:v>BTC-01</x:v>
      </x:c>
      <x:c r="B9" s="55" t="str">
        <x:v>Build, test, and CI health</x:v>
      </x:c>
      <x:c r="C9" s="55" t="str"/>
      <x:c r="D9" s="55" t="str">
        <x:v>Baseline</x:v>
      </x:c>
      <x:c r="E9" s="55" t="str">
        <x:v>Baseline, Elevated, Critical; all active repositories.</x:v>
      </x:c>
      <x:c r="F9" s="55" t="str">
        <x:v>The repository MUST define a non-interactive, version-controlled process that creates or validates its deliverable from a clean checkout using declared inputs.</x:v>
      </x:c>
      <x:c r="G9" s="55" t="str">
        <x:v>E3</x:v>
      </x:c>
      <x:c r="H9" s="51" t="str">
        <x:v>Unknown</x:v>
      </x:c>
      <x:c r="I9" s="55" t="n">
        <x:f>IF($A9="","",IF($H9="Met",1,IF($H9="Partially met",0.5,IF(OR($H9="Unmet",$H9="Unknown"),0,""))))</x:f>
        <x:v>0</x:v>
      </x:c>
      <x:c r="J9" s="51" t="str">
        <x:v>E0</x:v>
      </x:c>
      <x:c r="K9" s="55" t="n">
        <x:f>IF($A9="","",IF($J9="E4",4,IF($J9="E3",3,IF($J9="E2",2,IF($J9="E1",1,0)))))</x:f>
        <x:v>0</x:v>
      </x:c>
      <x:c r="L9" s="51" t="str">
        <x:v>Unknown</x:v>
      </x:c>
      <x:c r="M9" s="51" t="str"/>
      <x:c r="N9" s="51" t="str"/>
      <x:c r="O9" s="51" t="str"/>
      <x:c r="P9" s="51" t="str"/>
      <x:c r="Q9" s="55" t="n">
        <x:f>IF($A9="","",IF($D9="Baseline",1,IF($D9="Elevated",IF(OR('Profile'!$B$11="Elevated",'Profile'!$B$11="Critical"),1,0),IF($D9="Critical",IF('Profile'!$B$11="Critical",1,0),1))))</x:f>
        <x:v>1</x:v>
      </x:c>
      <x:c r="R9" s="55" t="n">
        <x:f>IF($A9="","",IF($Q9=0,0,IF($H9="N/A",0,IF($H9="Met",IF(AND($K9&gt;=VALUE(RIGHT($G9,1)),$L9="Yes"),1,0),IF($H9="Partially met",IF(AND($K9&gt;=1,$L9="Yes"),0.5,0),0)))))</x:f>
        <x:v>0</x:v>
      </x:c>
      <x:c r="S9" s="55" t="n">
        <x:f>IF($A9="","",IF($Q9=0,0,IF($H9="N/A",IF(AND($P9&lt;&gt;"",$O9&lt;&gt;"",IFERROR(VLOOKUP($O9,'Exceptions'!$A$5:$M$204,2,FALSE),"")="N/A determination",IFERROR(VLOOKUP($O9,'Exceptions'!$A$5:$M$204,13,FALSE),"")="Active",IFERROR(ISNUMBER(SEARCH($A9,IFERROR(VLOOKUP($O9,'Exceptions'!$A$5:$M$204,3,FALSE),""))),FALSE)),0,1),1)))</x:f>
        <x:v>1</x:v>
      </x:c>
      <x:c r="T9" s="55" t="str">
        <x:f>IF($A9="","",IF($C9="","",IF($H9="N/A",IF(AND($P9&lt;&gt;"",$O9&lt;&gt;"",IFERROR(VLOOKUP($O9,'Exceptions'!$A$5:$M$204,2,FALSE),"")="N/A determination",IFERROR(VLOOKUP($O9,'Exceptions'!$A$5:$M$204,13,FALSE),"")="Active",IFERROR(ISNUMBER(SEARCH($A9,IFERROR(VLOOKUP($O9,'Exceptions'!$A$5:$M$204,3,FALSE),""))),FALSE)),"N/A","FAIL"),IF(OR($H9="Unknown",$H9="",$K9=0,$L9&lt;&gt;"Yes"),"UNKNOWN",IF($H9="Met",IF($K9&gt;=VALUE(RIGHT($G9,1)),"PASS","UNKNOWN"),IF(OR($H9="Partially met",$H9="Unmet"),"FAIL","UNKNOWN"))))))</x:f>
      </x:c>
      <x:c r="U9" s="55" t="n">
        <x:f>IF($A9="","",IF($S9=0,0,IF(AND($K9&gt;=1,$L9="Yes"),1,0)))</x:f>
        <x:v>0</x:v>
      </x:c>
      <x:c r="V9" s="55" t="n">
        <x:f>IF($A9="","",IF(OR($S9=0,$H9="N/A",$L9&lt;&gt;"Yes"),0,$K9))</x:f>
        <x:v>0</x:v>
      </x:c>
      <x:c r="W9" s="55" t="str">
        <x:v>M-BTC-01 (automated build replay success rate).</x:v>
      </x:c>
      <x:c r="X9" s="55" t="str">
        <x:v>Pass at 100% of the last ten eligible replays, Concern at 90% to below 100%, Fail below 90%.</x:v>
      </x:c>
      <x:c r="Y9" s="55" t="str">
        <x:v>SRC-001, SRC-003, SRC-005, SRC-008 | https://csrc.nist.gov/pubs/sp/800/218/final</x:v>
      </x:c>
      <x:c r="Z9" s="55" t="str">
        <x:v>Scored only in BTC; current failure is also evaluated against G-01 without adding a second BTC point.</x:v>
      </x:c>
      <x:c r="AA9" s="55" t="str">
        <x:v>Capture the build/validation process in version control, declare toolchain versions, remove undocumented local prerequisites, and replay from a clean checkout.</x:v>
      </x:c>
      <x:c r="AB9" s="55" t="str">
        <x:f>IF($A9="","",IF(AND($Q9=1,$H9="N/A",NOT(AND($P9&lt;&gt;"",$O9&lt;&gt;"",IFERROR(VLOOKUP($O9,'Exceptions'!$A$5:$M$204,2,FALSE),"")="N/A determination",IFERROR(VLOOKUP($O9,'Exceptions'!$A$5:$M$204,13,FALSE),"")="Active",IFERROR(ISNUMBER(SEARCH($A9,IFERROR(VLOOKUP($O9,'Exceptions'!$A$5:$M$204,3,FALSE),""))),FALSE)))),"MISSING OR INVALID N/A DECISION",IF(AND($Q9=1,OR($H9="Partially met",$H9="Unmet"),OR($K9&lt;1,$L9&lt;&gt;"Yes")),"KNOWN RATING NEEDS FRESH E1",IF(AND($Q9=1,$H9="Met",OR($K9&lt;VALUE(RIGHT($G9,1)),$L9&lt;&gt;"Yes")),"EVIDENCE BELOW MINIMUM",IF(AND($Q9=1,OR($H9="",$H9="Unknown")),"UNASSESSED",IF(AND($H9="N/A",AND($P9&lt;&gt;"",$O9&lt;&gt;"",IFERROR(VLOOKUP($O9,'Exceptions'!$A$5:$M$204,2,FALSE),"")="N/A determination",IFERROR(VLOOKUP($O9,'Exceptions'!$A$5:$M$204,13,FALSE),"")="Active",IFERROR(ISNUMBER(SEARCH($A9,IFERROR(VLOOKUP($O9,'Exceptions'!$A$5:$M$204,3,FALSE),""))),FALSE))),"N/A APPROVED",IF($O9&lt;&gt;"","EXCEPTION REVIEW","OK")))))))</x:f>
        <x:v>UNASSESSED</x:v>
      </x:c>
    </x:row>
    <x:row r="10">
      <x:c r="A10" s="55" t="str">
        <x:v>BTC-02</x:v>
      </x:c>
      <x:c r="B10" s="55" t="str">
        <x:v>Build, test, and CI health</x:v>
      </x:c>
      <x:c r="C10" s="55" t="str"/>
      <x:c r="D10" s="55" t="str">
        <x:v>Baseline</x:v>
      </x:c>
      <x:c r="E10" s="55" t="str">
        <x:v>Baseline, Elevated, Critical; all active repositories.</x:v>
      </x:c>
      <x:c r="F10" s="55" t="str">
        <x:v>Every proposed and accepted change to Main MUST trigger the applicable automated build and validation suite on the final revision without manual initiation.</x:v>
      </x:c>
      <x:c r="G10" s="55" t="str">
        <x:v>E3</x:v>
      </x:c>
      <x:c r="H10" s="51" t="str">
        <x:v>Unknown</x:v>
      </x:c>
      <x:c r="I10" s="55" t="n">
        <x:f>IF($A10="","",IF($H10="Met",1,IF($H10="Partially met",0.5,IF(OR($H10="Unmet",$H10="Unknown"),0,""))))</x:f>
        <x:v>0</x:v>
      </x:c>
      <x:c r="J10" s="51" t="str">
        <x:v>E0</x:v>
      </x:c>
      <x:c r="K10" s="55" t="n">
        <x:f>IF($A10="","",IF($J10="E4",4,IF($J10="E3",3,IF($J10="E2",2,IF($J10="E1",1,0)))))</x:f>
        <x:v>0</x:v>
      </x:c>
      <x:c r="L10" s="51" t="str">
        <x:v>Unknown</x:v>
      </x:c>
      <x:c r="M10" s="51" t="str"/>
      <x:c r="N10" s="51" t="str"/>
      <x:c r="O10" s="51" t="str"/>
      <x:c r="P10" s="51" t="str"/>
      <x:c r="Q10" s="55" t="n">
        <x:f>IF($A10="","",IF($D10="Baseline",1,IF($D10="Elevated",IF(OR('Profile'!$B$11="Elevated",'Profile'!$B$11="Critical"),1,0),IF($D10="Critical",IF('Profile'!$B$11="Critical",1,0),1))))</x:f>
        <x:v>1</x:v>
      </x:c>
      <x:c r="R10" s="55" t="n">
        <x:f>IF($A10="","",IF($Q10=0,0,IF($H10="N/A",0,IF($H10="Met",IF(AND($K10&gt;=VALUE(RIGHT($G10,1)),$L10="Yes"),1,0),IF($H10="Partially met",IF(AND($K10&gt;=1,$L10="Yes"),0.5,0),0)))))</x:f>
        <x:v>0</x:v>
      </x:c>
      <x:c r="S10" s="55" t="n">
        <x:f>IF($A10="","",IF($Q10=0,0,IF($H10="N/A",IF(AND($P10&lt;&gt;"",$O10&lt;&gt;"",IFERROR(VLOOKUP($O10,'Exceptions'!$A$5:$M$204,2,FALSE),"")="N/A determination",IFERROR(VLOOKUP($O10,'Exceptions'!$A$5:$M$204,13,FALSE),"")="Active",IFERROR(ISNUMBER(SEARCH($A10,IFERROR(VLOOKUP($O10,'Exceptions'!$A$5:$M$204,3,FALSE),""))),FALSE)),0,1),1)))</x:f>
        <x:v>1</x:v>
      </x:c>
      <x:c r="T10" s="55" t="str">
        <x:f>IF($A10="","",IF($C10="","",IF($H10="N/A",IF(AND($P10&lt;&gt;"",$O10&lt;&gt;"",IFERROR(VLOOKUP($O10,'Exceptions'!$A$5:$M$204,2,FALSE),"")="N/A determination",IFERROR(VLOOKUP($O10,'Exceptions'!$A$5:$M$204,13,FALSE),"")="Active",IFERROR(ISNUMBER(SEARCH($A10,IFERROR(VLOOKUP($O10,'Exceptions'!$A$5:$M$204,3,FALSE),""))),FALSE)),"N/A","FAIL"),IF(OR($H10="Unknown",$H10="",$K10=0,$L10&lt;&gt;"Yes"),"UNKNOWN",IF($H10="Met",IF($K10&gt;=VALUE(RIGHT($G10,1)),"PASS","UNKNOWN"),IF(OR($H10="Partially met",$H10="Unmet"),"FAIL","UNKNOWN"))))))</x:f>
      </x:c>
      <x:c r="U10" s="55" t="n">
        <x:f>IF($A10="","",IF($S10=0,0,IF(AND($K10&gt;=1,$L10="Yes"),1,0)))</x:f>
        <x:v>0</x:v>
      </x:c>
      <x:c r="V10" s="55" t="n">
        <x:f>IF($A10="","",IF(OR($S10=0,$H10="N/A",$L10&lt;&gt;"Yes"),0,$K10))</x:f>
        <x:v>0</x:v>
      </x:c>
      <x:c r="W10" s="55" t="str">
        <x:v>M-BTC-02 (per-change CI coverage).</x:v>
      </x:c>
      <x:c r="X10" s="55" t="str">
        <x:v>Pass at 100%; Concern from 95% to below 100%; Fail below 95%.</x:v>
      </x:c>
      <x:c r="Y10" s="55" t="str">
        <x:v>SRC-001, SRC-004, SRC-008, SRC-009, SRC-010 | https://baseline.openssf.org/versions/2026-02-19.html</x:v>
      </x:c>
      <x:c r="Z10" s="55" t="str">
        <x:v>Scored only in BTC; skipped coverage may inform a CGD-04 finding, which is evaluated under its own control without duplicating this control's points.</x:v>
      </x:c>
      <x:c r="AA10" s="55" t="str">
        <x:v>Correct triggers and path filters, make final-revision checks required, and backfill verification for accepted changes lacking evidence.</x:v>
      </x:c>
      <x:c r="AB10" s="55" t="str">
        <x:f>IF($A10="","",IF(AND($Q10=1,$H10="N/A",NOT(AND($P10&lt;&gt;"",$O10&lt;&gt;"",IFERROR(VLOOKUP($O10,'Exceptions'!$A$5:$M$204,2,FALSE),"")="N/A determination",IFERROR(VLOOKUP($O10,'Exceptions'!$A$5:$M$204,13,FALSE),"")="Active",IFERROR(ISNUMBER(SEARCH($A10,IFERROR(VLOOKUP($O10,'Exceptions'!$A$5:$M$204,3,FALSE),""))),FALSE)))),"MISSING OR INVALID N/A DECISION",IF(AND($Q10=1,OR($H10="Partially met",$H10="Unmet"),OR($K10&lt;1,$L10&lt;&gt;"Yes")),"KNOWN RATING NEEDS FRESH E1",IF(AND($Q10=1,$H10="Met",OR($K10&lt;VALUE(RIGHT($G10,1)),$L10&lt;&gt;"Yes")),"EVIDENCE BELOW MINIMUM",IF(AND($Q10=1,OR($H10="",$H10="Unknown")),"UNASSESSED",IF(AND($H10="N/A",AND($P10&lt;&gt;"",$O10&lt;&gt;"",IFERROR(VLOOKUP($O10,'Exceptions'!$A$5:$M$204,2,FALSE),"")="N/A determination",IFERROR(VLOOKUP($O10,'Exceptions'!$A$5:$M$204,13,FALSE),"")="Active",IFERROR(ISNUMBER(SEARCH($A10,IFERROR(VLOOKUP($O10,'Exceptions'!$A$5:$M$204,3,FALSE),""))),FALSE))),"N/A APPROVED",IF($O10&lt;&gt;"","EXCEPTION REVIEW","OK")))))))</x:f>
        <x:v>UNASSESSED</x:v>
      </x:c>
    </x:row>
    <x:row r="11">
      <x:c r="A11" s="55" t="str">
        <x:v>BTC-03</x:v>
      </x:c>
      <x:c r="B11" s="55" t="str">
        <x:v>Build, test, and CI health</x:v>
      </x:c>
      <x:c r="C11" s="55" t="str"/>
      <x:c r="D11" s="55" t="str">
        <x:v>Baseline</x:v>
      </x:c>
      <x:c r="E11" s="55" t="str">
        <x:v>Baseline, Elevated, Critical; validation categories scale with repository type and risk.</x:v>
      </x:c>
      <x:c r="F11" s="55" t="str">
        <x:v>The repository MUST declare the validation categories required for each change class and MUST execute all applicable categories before acceptance.</x:v>
      </x:c>
      <x:c r="G11" s="55" t="str">
        <x:v>E3</x:v>
      </x:c>
      <x:c r="H11" s="51" t="str">
        <x:v>Unknown</x:v>
      </x:c>
      <x:c r="I11" s="55" t="n">
        <x:f>IF($A11="","",IF($H11="Met",1,IF($H11="Partially met",0.5,IF(OR($H11="Unmet",$H11="Unknown"),0,""))))</x:f>
        <x:v>0</x:v>
      </x:c>
      <x:c r="J11" s="51" t="str">
        <x:v>E0</x:v>
      </x:c>
      <x:c r="K11" s="55" t="n">
        <x:f>IF($A11="","",IF($J11="E4",4,IF($J11="E3",3,IF($J11="E2",2,IF($J11="E1",1,0)))))</x:f>
        <x:v>0</x:v>
      </x:c>
      <x:c r="L11" s="51" t="str">
        <x:v>Unknown</x:v>
      </x:c>
      <x:c r="M11" s="51" t="str"/>
      <x:c r="N11" s="51" t="str"/>
      <x:c r="O11" s="51" t="str"/>
      <x:c r="P11" s="51" t="str"/>
      <x:c r="Q11" s="55" t="n">
        <x:f>IF($A11="","",IF($D11="Baseline",1,IF($D11="Elevated",IF(OR('Profile'!$B$11="Elevated",'Profile'!$B$11="Critical"),1,0),IF($D11="Critical",IF('Profile'!$B$11="Critical",1,0),1))))</x:f>
        <x:v>1</x:v>
      </x:c>
      <x:c r="R11" s="55" t="n">
        <x:f>IF($A11="","",IF($Q11=0,0,IF($H11="N/A",0,IF($H11="Met",IF(AND($K11&gt;=VALUE(RIGHT($G11,1)),$L11="Yes"),1,0),IF($H11="Partially met",IF(AND($K11&gt;=1,$L11="Yes"),0.5,0),0)))))</x:f>
        <x:v>0</x:v>
      </x:c>
      <x:c r="S11" s="55" t="n">
        <x:f>IF($A11="","",IF($Q11=0,0,IF($H11="N/A",IF(AND($P11&lt;&gt;"",$O11&lt;&gt;"",IFERROR(VLOOKUP($O11,'Exceptions'!$A$5:$M$204,2,FALSE),"")="N/A determination",IFERROR(VLOOKUP($O11,'Exceptions'!$A$5:$M$204,13,FALSE),"")="Active",IFERROR(ISNUMBER(SEARCH($A11,IFERROR(VLOOKUP($O11,'Exceptions'!$A$5:$M$204,3,FALSE),""))),FALSE)),0,1),1)))</x:f>
        <x:v>1</x:v>
      </x:c>
      <x:c r="T11" s="55" t="str">
        <x:f>IF($A11="","",IF($C11="","",IF($H11="N/A",IF(AND($P11&lt;&gt;"",$O11&lt;&gt;"",IFERROR(VLOOKUP($O11,'Exceptions'!$A$5:$M$204,2,FALSE),"")="N/A determination",IFERROR(VLOOKUP($O11,'Exceptions'!$A$5:$M$204,13,FALSE),"")="Active",IFERROR(ISNUMBER(SEARCH($A11,IFERROR(VLOOKUP($O11,'Exceptions'!$A$5:$M$204,3,FALSE),""))),FALSE)),"N/A","FAIL"),IF(OR($H11="Unknown",$H11="",$K11=0,$L11&lt;&gt;"Yes"),"UNKNOWN",IF($H11="Met",IF($K11&gt;=VALUE(RIGHT($G11,1)),"PASS","UNKNOWN"),IF(OR($H11="Partially met",$H11="Unmet"),"FAIL","UNKNOWN"))))))</x:f>
      </x:c>
      <x:c r="U11" s="55" t="n">
        <x:f>IF($A11="","",IF($S11=0,0,IF(AND($K11&gt;=1,$L11="Yes"),1,0)))</x:f>
        <x:v>0</x:v>
      </x:c>
      <x:c r="V11" s="55" t="n">
        <x:f>IF($A11="","",IF(OR($S11=0,$H11="N/A",$L11&lt;&gt;"Yes"),0,$K11))</x:f>
        <x:v>0</x:v>
      </x:c>
      <x:c r="W11" s="55" t="str">
        <x:v>M-BTC-03 (required validation-category satisfaction).</x:v>
      </x:c>
      <x:c r="X11" s="55" t="str">
        <x:v>Pass at 100%; Concern from 95% to below 100%; Fail below 95% or any skipped Critical-tier category. An exception records accepted risk but does not remove the failed category or automatic Fail condition.</x:v>
      </x:c>
      <x:c r="Y11" s="55" t="str">
        <x:v>SRC-001, SRC-003, SRC-004, SRC-009 | https://csrc.nist.gov/pubs/sp/800/218/final</x:v>
      </x:c>
      <x:c r="Z11" s="55" t="str">
        <x:v>Scored only in BTC; no standalone grade cap.</x:v>
      </x:c>
      <x:c r="AA11" s="55" t="str">
        <x:v>Define change classes and required categories, close path-filter gaps, automate frequent checks, and govern unavoidable manual validation.</x:v>
      </x:c>
      <x:c r="AB11" s="55" t="str">
        <x:f>IF($A11="","",IF(AND($Q11=1,$H11="N/A",NOT(AND($P11&lt;&gt;"",$O11&lt;&gt;"",IFERROR(VLOOKUP($O11,'Exceptions'!$A$5:$M$204,2,FALSE),"")="N/A determination",IFERROR(VLOOKUP($O11,'Exceptions'!$A$5:$M$204,13,FALSE),"")="Active",IFERROR(ISNUMBER(SEARCH($A11,IFERROR(VLOOKUP($O11,'Exceptions'!$A$5:$M$204,3,FALSE),""))),FALSE)))),"MISSING OR INVALID N/A DECISION",IF(AND($Q11=1,OR($H11="Partially met",$H11="Unmet"),OR($K11&lt;1,$L11&lt;&gt;"Yes")),"KNOWN RATING NEEDS FRESH E1",IF(AND($Q11=1,$H11="Met",OR($K11&lt;VALUE(RIGHT($G11,1)),$L11&lt;&gt;"Yes")),"EVIDENCE BELOW MINIMUM",IF(AND($Q11=1,OR($H11="",$H11="Unknown")),"UNASSESSED",IF(AND($H11="N/A",AND($P11&lt;&gt;"",$O11&lt;&gt;"",IFERROR(VLOOKUP($O11,'Exceptions'!$A$5:$M$204,2,FALSE),"")="N/A determination",IFERROR(VLOOKUP($O11,'Exceptions'!$A$5:$M$204,13,FALSE),"")="Active",IFERROR(ISNUMBER(SEARCH($A11,IFERROR(VLOOKUP($O11,'Exceptions'!$A$5:$M$204,3,FALSE),""))),FALSE))),"N/A APPROVED",IF($O11&lt;&gt;"","EXCEPTION REVIEW","OK")))))))</x:f>
        <x:v>UNASSESSED</x:v>
      </x:c>
    </x:row>
    <x:row r="12">
      <x:c r="A12" s="55" t="str">
        <x:v>BTC-04</x:v>
      </x:c>
      <x:c r="B12" s="55" t="str">
        <x:v>Build, test, and CI health</x:v>
      </x:c>
      <x:c r="C12" s="55" t="str"/>
      <x:c r="D12" s="55" t="str">
        <x:v>Baseline</x:v>
      </x:c>
      <x:c r="E12" s="55" t="str">
        <x:v>Baseline, Elevated, Critical; all repositories with proposed-change validation.</x:v>
      </x:c>
      <x:c r="F12" s="55" t="str">
        <x:v>Required CI SHOULD return actionable terminal feedback within the repository's declared service-level objective (SLO).</x:v>
      </x:c>
      <x:c r="G12" s="55" t="str">
        <x:v>E3</x:v>
      </x:c>
      <x:c r="H12" s="51" t="str">
        <x:v>Unknown</x:v>
      </x:c>
      <x:c r="I12" s="55" t="n">
        <x:f>IF($A12="","",IF($H12="Met",1,IF($H12="Partially met",0.5,IF(OR($H12="Unmet",$H12="Unknown"),0,""))))</x:f>
        <x:v>0</x:v>
      </x:c>
      <x:c r="J12" s="51" t="str">
        <x:v>E0</x:v>
      </x:c>
      <x:c r="K12" s="55" t="n">
        <x:f>IF($A12="","",IF($J12="E4",4,IF($J12="E3",3,IF($J12="E2",2,IF($J12="E1",1,0)))))</x:f>
        <x:v>0</x:v>
      </x:c>
      <x:c r="L12" s="51" t="str">
        <x:v>Unknown</x:v>
      </x:c>
      <x:c r="M12" s="51" t="str"/>
      <x:c r="N12" s="51" t="str"/>
      <x:c r="O12" s="51" t="str"/>
      <x:c r="P12" s="51" t="str"/>
      <x:c r="Q12" s="55" t="n">
        <x:f>IF($A12="","",IF($D12="Baseline",1,IF($D12="Elevated",IF(OR('Profile'!$B$11="Elevated",'Profile'!$B$11="Critical"),1,0),IF($D12="Critical",IF('Profile'!$B$11="Critical",1,0),1))))</x:f>
        <x:v>1</x:v>
      </x:c>
      <x:c r="R12" s="55" t="n">
        <x:f>IF($A12="","",IF($Q12=0,0,IF($H12="N/A",0,IF($H12="Met",IF(AND($K12&gt;=VALUE(RIGHT($G12,1)),$L12="Yes"),1,0),IF($H12="Partially met",IF(AND($K12&gt;=1,$L12="Yes"),0.5,0),0)))))</x:f>
        <x:v>0</x:v>
      </x:c>
      <x:c r="S12" s="55" t="n">
        <x:f>IF($A12="","",IF($Q12=0,0,IF($H12="N/A",IF(AND($P12&lt;&gt;"",$O12&lt;&gt;"",IFERROR(VLOOKUP($O12,'Exceptions'!$A$5:$M$204,2,FALSE),"")="N/A determination",IFERROR(VLOOKUP($O12,'Exceptions'!$A$5:$M$204,13,FALSE),"")="Active",IFERROR(ISNUMBER(SEARCH($A12,IFERROR(VLOOKUP($O12,'Exceptions'!$A$5:$M$204,3,FALSE),""))),FALSE)),0,1),1)))</x:f>
        <x:v>1</x:v>
      </x:c>
      <x:c r="T12" s="55" t="str">
        <x:f>IF($A12="","",IF($C12="","",IF($H12="N/A",IF(AND($P12&lt;&gt;"",$O12&lt;&gt;"",IFERROR(VLOOKUP($O12,'Exceptions'!$A$5:$M$204,2,FALSE),"")="N/A determination",IFERROR(VLOOKUP($O12,'Exceptions'!$A$5:$M$204,13,FALSE),"")="Active",IFERROR(ISNUMBER(SEARCH($A12,IFERROR(VLOOKUP($O12,'Exceptions'!$A$5:$M$204,3,FALSE),""))),FALSE)),"N/A","FAIL"),IF(OR($H12="Unknown",$H12="",$K12=0,$L12&lt;&gt;"Yes"),"UNKNOWN",IF($H12="Met",IF($K12&gt;=VALUE(RIGHT($G12,1)),"PASS","UNKNOWN"),IF(OR($H12="Partially met",$H12="Unmet"),"FAIL","UNKNOWN"))))))</x:f>
      </x:c>
      <x:c r="U12" s="55" t="n">
        <x:f>IF($A12="","",IF($S12=0,0,IF(AND($K12&gt;=1,$L12="Yes"),1,0)))</x:f>
        <x:v>0</x:v>
      </x:c>
      <x:c r="V12" s="55" t="n">
        <x:f>IF($A12="","",IF(OR($S12=0,$H12="N/A",$L12&lt;&gt;"Yes"),0,$K12))</x:f>
        <x:v>0</x:v>
      </x:c>
      <x:c r="W12" s="55" t="str">
        <x:v>M-BTC-04 (p95 required-feedback latency).</x:v>
      </x:c>
      <x:c r="X12" s="55" t="str">
        <x:v>Pass at p95 no greater than the declared SLO, Concern above 1.0 through 2.0 times the SLO, Fail above 2.0 times; default SLO is 30 minutes when none is approved.</x:v>
      </x:c>
      <x:c r="Y12" s="55" t="str">
        <x:v>SRC-001, SRC-009, SRC-015 | https://dora.dev/capabilities/continuous-integration/</x:v>
      </x:c>
      <x:c r="Z12" s="55" t="str">
        <x:v>Scored only in BTC; no standalone grade cap.</x:v>
      </x:c>
      <x:c r="AA12" s="55" t="str">
        <x:v>Profile the critical path, remove redundant work, parallelize, right-size runners, and separate non-blocking long tests without weakening required risk coverage.</x:v>
      </x:c>
      <x:c r="AB12" s="55" t="str">
        <x:f>IF($A12="","",IF(AND($Q12=1,$H12="N/A",NOT(AND($P12&lt;&gt;"",$O12&lt;&gt;"",IFERROR(VLOOKUP($O12,'Exceptions'!$A$5:$M$204,2,FALSE),"")="N/A determination",IFERROR(VLOOKUP($O12,'Exceptions'!$A$5:$M$204,13,FALSE),"")="Active",IFERROR(ISNUMBER(SEARCH($A12,IFERROR(VLOOKUP($O12,'Exceptions'!$A$5:$M$204,3,FALSE),""))),FALSE)))),"MISSING OR INVALID N/A DECISION",IF(AND($Q12=1,OR($H12="Partially met",$H12="Unmet"),OR($K12&lt;1,$L12&lt;&gt;"Yes")),"KNOWN RATING NEEDS FRESH E1",IF(AND($Q12=1,$H12="Met",OR($K12&lt;VALUE(RIGHT($G12,1)),$L12&lt;&gt;"Yes")),"EVIDENCE BELOW MINIMUM",IF(AND($Q12=1,OR($H12="",$H12="Unknown")),"UNASSESSED",IF(AND($H12="N/A",AND($P12&lt;&gt;"",$O12&lt;&gt;"",IFERROR(VLOOKUP($O12,'Exceptions'!$A$5:$M$204,2,FALSE),"")="N/A determination",IFERROR(VLOOKUP($O12,'Exceptions'!$A$5:$M$204,13,FALSE),"")="Active",IFERROR(ISNUMBER(SEARCH($A12,IFERROR(VLOOKUP($O12,'Exceptions'!$A$5:$M$204,3,FALSE),""))),FALSE))),"N/A APPROVED",IF($O12&lt;&gt;"","EXCEPTION REVIEW","OK")))))))</x:f>
        <x:v>UNASSESSED</x:v>
      </x:c>
    </x:row>
    <x:row r="13">
      <x:c r="A13" s="55" t="str">
        <x:v>BTC-05</x:v>
      </x:c>
      <x:c r="B13" s="55" t="str">
        <x:v>Build, test, and CI health</x:v>
      </x:c>
      <x:c r="C13" s="55" t="str"/>
      <x:c r="D13" s="55" t="str">
        <x:v>Baseline</x:v>
      </x:c>
      <x:c r="E13" s="55" t="str">
        <x:v>Baseline, Elevated, Critical; all repositories with automated validation.</x:v>
      </x:c>
      <x:c r="F13" s="55" t="str">
        <x:v>Required checks MUST be deterministic enough that rerunning the same source and configuration does not routinely change the outcome.</x:v>
      </x:c>
      <x:c r="G13" s="55" t="str">
        <x:v>E3</x:v>
      </x:c>
      <x:c r="H13" s="51" t="str">
        <x:v>Unknown</x:v>
      </x:c>
      <x:c r="I13" s="55" t="n">
        <x:f>IF($A13="","",IF($H13="Met",1,IF($H13="Partially met",0.5,IF(OR($H13="Unmet",$H13="Unknown"),0,""))))</x:f>
        <x:v>0</x:v>
      </x:c>
      <x:c r="J13" s="51" t="str">
        <x:v>E0</x:v>
      </x:c>
      <x:c r="K13" s="55" t="n">
        <x:f>IF($A13="","",IF($J13="E4",4,IF($J13="E3",3,IF($J13="E2",2,IF($J13="E1",1,0)))))</x:f>
        <x:v>0</x:v>
      </x:c>
      <x:c r="L13" s="51" t="str">
        <x:v>Unknown</x:v>
      </x:c>
      <x:c r="M13" s="51" t="str"/>
      <x:c r="N13" s="51" t="str"/>
      <x:c r="O13" s="51" t="str"/>
      <x:c r="P13" s="51" t="str"/>
      <x:c r="Q13" s="55" t="n">
        <x:f>IF($A13="","",IF($D13="Baseline",1,IF($D13="Elevated",IF(OR('Profile'!$B$11="Elevated",'Profile'!$B$11="Critical"),1,0),IF($D13="Critical",IF('Profile'!$B$11="Critical",1,0),1))))</x:f>
        <x:v>1</x:v>
      </x:c>
      <x:c r="R13" s="55" t="n">
        <x:f>IF($A13="","",IF($Q13=0,0,IF($H13="N/A",0,IF($H13="Met",IF(AND($K13&gt;=VALUE(RIGHT($G13,1)),$L13="Yes"),1,0),IF($H13="Partially met",IF(AND($K13&gt;=1,$L13="Yes"),0.5,0),0)))))</x:f>
        <x:v>0</x:v>
      </x:c>
      <x:c r="S13" s="55" t="n">
        <x:f>IF($A13="","",IF($Q13=0,0,IF($H13="N/A",IF(AND($P13&lt;&gt;"",$O13&lt;&gt;"",IFERROR(VLOOKUP($O13,'Exceptions'!$A$5:$M$204,2,FALSE),"")="N/A determination",IFERROR(VLOOKUP($O13,'Exceptions'!$A$5:$M$204,13,FALSE),"")="Active",IFERROR(ISNUMBER(SEARCH($A13,IFERROR(VLOOKUP($O13,'Exceptions'!$A$5:$M$204,3,FALSE),""))),FALSE)),0,1),1)))</x:f>
        <x:v>1</x:v>
      </x:c>
      <x:c r="T13" s="55" t="str">
        <x:f>IF($A13="","",IF($C13="","",IF($H13="N/A",IF(AND($P13&lt;&gt;"",$O13&lt;&gt;"",IFERROR(VLOOKUP($O13,'Exceptions'!$A$5:$M$204,2,FALSE),"")="N/A determination",IFERROR(VLOOKUP($O13,'Exceptions'!$A$5:$M$204,13,FALSE),"")="Active",IFERROR(ISNUMBER(SEARCH($A13,IFERROR(VLOOKUP($O13,'Exceptions'!$A$5:$M$204,3,FALSE),""))),FALSE)),"N/A","FAIL"),IF(OR($H13="Unknown",$H13="",$K13=0,$L13&lt;&gt;"Yes"),"UNKNOWN",IF($H13="Met",IF($K13&gt;=VALUE(RIGHT($G13,1)),"PASS","UNKNOWN"),IF(OR($H13="Partially met",$H13="Unmet"),"FAIL","UNKNOWN"))))))</x:f>
      </x:c>
      <x:c r="U13" s="55" t="n">
        <x:f>IF($A13="","",IF($S13=0,0,IF(AND($K13&gt;=1,$L13="Yes"),1,0)))</x:f>
        <x:v>0</x:v>
      </x:c>
      <x:c r="V13" s="55" t="n">
        <x:f>IF($A13="","",IF(OR($S13=0,$H13="N/A",$L13&lt;&gt;"Yes"),0,$K13))</x:f>
        <x:v>0</x:v>
      </x:c>
      <x:c r="W13" s="55" t="str">
        <x:v>M-BTC-05 (flaky outcome-change rate).</x:v>
      </x:c>
      <x:c r="X13" s="55" t="str">
        <x:v>Pass at no more than 1%; Concern above 1% through 3%; Fail above 3%.</x:v>
      </x:c>
      <x:c r="Y13" s="55" t="str">
        <x:v>SRC-001, SRC-009 | https://dora.dev/capabilities/continuous-integration/</x:v>
      </x:c>
      <x:c r="Z13" s="55" t="str">
        <x:v>Scored only in BTC; no standalone grade cap.</x:v>
      </x:c>
      <x:c r="AA13" s="55" t="str">
        <x:v>Identify unstable checks, fix isolation/timing/data causes, quarantine only with expiry, and prevent rerun-only success from satisfying required status.</x:v>
      </x:c>
      <x:c r="AB13" s="55" t="str">
        <x:f>IF($A13="","",IF(AND($Q13=1,$H13="N/A",NOT(AND($P13&lt;&gt;"",$O13&lt;&gt;"",IFERROR(VLOOKUP($O13,'Exceptions'!$A$5:$M$204,2,FALSE),"")="N/A determination",IFERROR(VLOOKUP($O13,'Exceptions'!$A$5:$M$204,13,FALSE),"")="Active",IFERROR(ISNUMBER(SEARCH($A13,IFERROR(VLOOKUP($O13,'Exceptions'!$A$5:$M$204,3,FALSE),""))),FALSE)))),"MISSING OR INVALID N/A DECISION",IF(AND($Q13=1,OR($H13="Partially met",$H13="Unmet"),OR($K13&lt;1,$L13&lt;&gt;"Yes")),"KNOWN RATING NEEDS FRESH E1",IF(AND($Q13=1,$H13="Met",OR($K13&lt;VALUE(RIGHT($G13,1)),$L13&lt;&gt;"Yes")),"EVIDENCE BELOW MINIMUM",IF(AND($Q13=1,OR($H13="",$H13="Unknown")),"UNASSESSED",IF(AND($H13="N/A",AND($P13&lt;&gt;"",$O13&lt;&gt;"",IFERROR(VLOOKUP($O13,'Exceptions'!$A$5:$M$204,2,FALSE),"")="N/A determination",IFERROR(VLOOKUP($O13,'Exceptions'!$A$5:$M$204,13,FALSE),"")="Active",IFERROR(ISNUMBER(SEARCH($A13,IFERROR(VLOOKUP($O13,'Exceptions'!$A$5:$M$204,3,FALSE),""))),FALSE))),"N/A APPROVED",IF($O13&lt;&gt;"","EXCEPTION REVIEW","OK")))))))</x:f>
        <x:v>UNASSESSED</x:v>
      </x:c>
    </x:row>
    <x:row r="14">
      <x:c r="A14" s="55" t="str">
        <x:v>CGD-01</x:v>
      </x:c>
      <x:c r="B14" s="55" t="str">
        <x:v>Change governance and branch discipline</x:v>
      </x:c>
      <x:c r="C14" s="55" t="str">
        <x:v>G-03</x:v>
      </x:c>
      <x:c r="D14" s="55" t="str">
        <x:v>Baseline</x:v>
      </x:c>
      <x:c r="E14" s="55" t="str">
        <x:v>Baseline, Elevated, Critical; every repository, including mirrors, sandboxes, and archives under their type-specific synchronization, locked-change, or retained-history contract.</x:v>
      </x:c>
      <x:c r="F14" s="55" t="str">
        <x:v>Every change accepted into Main MUST pass a declared controlled path that records the final revision, actor, authorization, required validation result, acceptance event, and any bypass or privileged path used.</x:v>
      </x:c>
      <x:c r="G14" s="55" t="str">
        <x:v>E3</x:v>
      </x:c>
      <x:c r="H14" s="51" t="str">
        <x:v>Unknown</x:v>
      </x:c>
      <x:c r="I14" s="55" t="n">
        <x:f>IF($A14="","",IF($H14="Met",1,IF($H14="Partially met",0.5,IF(OR($H14="Unmet",$H14="Unknown"),0,""))))</x:f>
        <x:v>0</x:v>
      </x:c>
      <x:c r="J14" s="51" t="str">
        <x:v>E0</x:v>
      </x:c>
      <x:c r="K14" s="55" t="n">
        <x:f>IF($A14="","",IF($J14="E4",4,IF($J14="E3",3,IF($J14="E2",2,IF($J14="E1",1,0)))))</x:f>
        <x:v>0</x:v>
      </x:c>
      <x:c r="L14" s="51" t="str">
        <x:v>Unknown</x:v>
      </x:c>
      <x:c r="M14" s="51" t="str"/>
      <x:c r="N14" s="51" t="str"/>
      <x:c r="O14" s="51" t="str"/>
      <x:c r="P14" s="51" t="str"/>
      <x:c r="Q14" s="55" t="n">
        <x:f>IF($A14="","",IF($D14="Baseline",1,IF($D14="Elevated",IF(OR('Profile'!$B$11="Elevated",'Profile'!$B$11="Critical"),1,0),IF($D14="Critical",IF('Profile'!$B$11="Critical",1,0),1))))</x:f>
        <x:v>1</x:v>
      </x:c>
      <x:c r="R14" s="55" t="n">
        <x:f>IF($A14="","",IF($Q14=0,0,IF($H14="N/A",0,IF($H14="Met",IF(AND($K14&gt;=VALUE(RIGHT($G14,1)),$L14="Yes"),1,0),IF($H14="Partially met",IF(AND($K14&gt;=1,$L14="Yes"),0.5,0),0)))))</x:f>
        <x:v>0</x:v>
      </x:c>
      <x:c r="S14" s="55" t="n">
        <x:f>IF($A14="","",IF($Q14=0,0,IF($H14="N/A",IF(AND($P14&lt;&gt;"",$O14&lt;&gt;"",IFERROR(VLOOKUP($O14,'Exceptions'!$A$5:$M$204,2,FALSE),"")="N/A determination",IFERROR(VLOOKUP($O14,'Exceptions'!$A$5:$M$204,13,FALSE),"")="Active",IFERROR(ISNUMBER(SEARCH($A14,IFERROR(VLOOKUP($O14,'Exceptions'!$A$5:$M$204,3,FALSE),""))),FALSE)),0,1),1)))</x:f>
        <x:v>1</x:v>
      </x:c>
      <x:c r="T14" s="55" t="str">
        <x:f>IF($A14="","",IF($C14="","",IF($H14="N/A",IF(AND($P14&lt;&gt;"",$O14&lt;&gt;"",IFERROR(VLOOKUP($O14,'Exceptions'!$A$5:$M$204,2,FALSE),"")="N/A determination",IFERROR(VLOOKUP($O14,'Exceptions'!$A$5:$M$204,13,FALSE),"")="Active",IFERROR(ISNUMBER(SEARCH($A14,IFERROR(VLOOKUP($O14,'Exceptions'!$A$5:$M$204,3,FALSE),""))),FALSE)),"N/A","FAIL"),IF(OR($H14="Unknown",$H14="",$K14=0,$L14&lt;&gt;"Yes"),"UNKNOWN",IF($H14="Met",IF($K14&gt;=VALUE(RIGHT($G14,1)),"PASS","UNKNOWN"),IF(OR($H14="Partially met",$H14="Unmet"),"FAIL","UNKNOWN"))))))</x:f>
        <x:v>UNKNOWN</x:v>
      </x:c>
      <x:c r="U14" s="55" t="n">
        <x:f>IF($A14="","",IF($S14=0,0,IF(AND($K14&gt;=1,$L14="Yes"),1,0)))</x:f>
        <x:v>0</x:v>
      </x:c>
      <x:c r="V14" s="55" t="n">
        <x:f>IF($A14="","",IF(OR($S14=0,$H14="N/A",$L14&lt;&gt;"Yes"),0,$K14))</x:f>
        <x:v>0</x:v>
      </x:c>
      <x:c r="W14" s="55" t="str">
        <x:v>M-CGD-01 (audited Main-change coverage).</x:v>
      </x:c>
      <x:c r="X14" s="55" t="str">
        <x:v>Pass at 100%; Concern is not available for the current gate state; any incomplete accepted change is Fail. The historical percentage is retained for trend.</x:v>
      </x:c>
      <x:c r="Y14" s="55" t="str">
        <x:v>SRC-001, SRC-003, SRC-004, SRC-005, SRC-010, SRC-013 | https://csrc.nist.gov/pubs/sp/800/218/final</x:v>
      </x:c>
      <x:c r="Z14" s="55" t="str">
        <x:v>Scored once in CGD. G-03 Fail or Unknown caps the overall grade at D.</x:v>
      </x:c>
      <x:c r="AA14" s="55" t="str">
        <x:v>Declare one accepted path, enforce it at the source-control boundary, preserve event logs, and reconcile unlinked changes.</x:v>
      </x:c>
      <x:c r="AB14" s="55" t="str">
        <x:f>IF($A14="","",IF(AND($Q14=1,$H14="N/A",NOT(AND($P14&lt;&gt;"",$O14&lt;&gt;"",IFERROR(VLOOKUP($O14,'Exceptions'!$A$5:$M$204,2,FALSE),"")="N/A determination",IFERROR(VLOOKUP($O14,'Exceptions'!$A$5:$M$204,13,FALSE),"")="Active",IFERROR(ISNUMBER(SEARCH($A14,IFERROR(VLOOKUP($O14,'Exceptions'!$A$5:$M$204,3,FALSE),""))),FALSE)))),"MISSING OR INVALID N/A DECISION",IF(AND($Q14=1,OR($H14="Partially met",$H14="Unmet"),OR($K14&lt;1,$L14&lt;&gt;"Yes")),"KNOWN RATING NEEDS FRESH E1",IF(AND($Q14=1,$H14="Met",OR($K14&lt;VALUE(RIGHT($G14,1)),$L14&lt;&gt;"Yes")),"EVIDENCE BELOW MINIMUM",IF(AND($Q14=1,OR($H14="",$H14="Unknown")),"UNASSESSED",IF(AND($H14="N/A",AND($P14&lt;&gt;"",$O14&lt;&gt;"",IFERROR(VLOOKUP($O14,'Exceptions'!$A$5:$M$204,2,FALSE),"")="N/A determination",IFERROR(VLOOKUP($O14,'Exceptions'!$A$5:$M$204,13,FALSE),"")="Active",IFERROR(ISNUMBER(SEARCH($A14,IFERROR(VLOOKUP($O14,'Exceptions'!$A$5:$M$204,3,FALSE),""))),FALSE))),"N/A APPROVED",IF($O14&lt;&gt;"","EXCEPTION REVIEW","OK")))))))</x:f>
        <x:v>UNASSESSED</x:v>
      </x:c>
    </x:row>
    <x:row r="15">
      <x:c r="A15" s="55" t="str">
        <x:v>CGD-02</x:v>
      </x:c>
      <x:c r="B15" s="55" t="str">
        <x:v>Change governance and branch discipline</x:v>
      </x:c>
      <x:c r="C15" s="55" t="str">
        <x:v>G-04</x:v>
      </x:c>
      <x:c r="D15" s="55" t="str">
        <x:v>Baseline</x:v>
      </x:c>
      <x:c r="E15" s="55" t="str">
        <x:v>Baseline, Elevated, Critical; Main plus every active production, release, maintenance, environment, immutable release, GitOps, or other production-critical ref. Archived repositories include Main and retained refs whose integrity preserves supported or historical state.</x:v>
      </x:c>
      <x:c r="F15" s="55" t="str">
        <x:v>Main and all production-critical refs MUST prevent unauthorized direct update, deletion, and history rewriting and MUST enforce the repository's required acceptance controls.</x:v>
      </x:c>
      <x:c r="G15" s="55" t="str">
        <x:v>E3</x:v>
      </x:c>
      <x:c r="H15" s="51" t="str">
        <x:v>Unknown</x:v>
      </x:c>
      <x:c r="I15" s="55" t="n">
        <x:f>IF($A15="","",IF($H15="Met",1,IF($H15="Partially met",0.5,IF(OR($H15="Unmet",$H15="Unknown"),0,""))))</x:f>
        <x:v>0</x:v>
      </x:c>
      <x:c r="J15" s="51" t="str">
        <x:v>E0</x:v>
      </x:c>
      <x:c r="K15" s="55" t="n">
        <x:f>IF($A15="","",IF($J15="E4",4,IF($J15="E3",3,IF($J15="E2",2,IF($J15="E1",1,0)))))</x:f>
        <x:v>0</x:v>
      </x:c>
      <x:c r="L15" s="51" t="str">
        <x:v>Unknown</x:v>
      </x:c>
      <x:c r="M15" s="51" t="str"/>
      <x:c r="N15" s="51" t="str"/>
      <x:c r="O15" s="51" t="str"/>
      <x:c r="P15" s="51" t="str"/>
      <x:c r="Q15" s="55" t="n">
        <x:f>IF($A15="","",IF($D15="Baseline",1,IF($D15="Elevated",IF(OR('Profile'!$B$11="Elevated",'Profile'!$B$11="Critical"),1,0),IF($D15="Critical",IF('Profile'!$B$11="Critical",1,0),1))))</x:f>
        <x:v>1</x:v>
      </x:c>
      <x:c r="R15" s="55" t="n">
        <x:f>IF($A15="","",IF($Q15=0,0,IF($H15="N/A",0,IF($H15="Met",IF(AND($K15&gt;=VALUE(RIGHT($G15,1)),$L15="Yes"),1,0),IF($H15="Partially met",IF(AND($K15&gt;=1,$L15="Yes"),0.5,0),0)))))</x:f>
        <x:v>0</x:v>
      </x:c>
      <x:c r="S15" s="55" t="n">
        <x:f>IF($A15="","",IF($Q15=0,0,IF($H15="N/A",IF(AND($P15&lt;&gt;"",$O15&lt;&gt;"",IFERROR(VLOOKUP($O15,'Exceptions'!$A$5:$M$204,2,FALSE),"")="N/A determination",IFERROR(VLOOKUP($O15,'Exceptions'!$A$5:$M$204,13,FALSE),"")="Active",IFERROR(ISNUMBER(SEARCH($A15,IFERROR(VLOOKUP($O15,'Exceptions'!$A$5:$M$204,3,FALSE),""))),FALSE)),0,1),1)))</x:f>
        <x:v>1</x:v>
      </x:c>
      <x:c r="T15" s="55" t="str">
        <x:f>IF($A15="","",IF($C15="","",IF($H15="N/A",IF(AND($P15&lt;&gt;"",$O15&lt;&gt;"",IFERROR(VLOOKUP($O15,'Exceptions'!$A$5:$M$204,2,FALSE),"")="N/A determination",IFERROR(VLOOKUP($O15,'Exceptions'!$A$5:$M$204,13,FALSE),"")="Active",IFERROR(ISNUMBER(SEARCH($A15,IFERROR(VLOOKUP($O15,'Exceptions'!$A$5:$M$204,3,FALSE),""))),FALSE)),"N/A","FAIL"),IF(OR($H15="Unknown",$H15="",$K15=0,$L15&lt;&gt;"Yes"),"UNKNOWN",IF($H15="Met",IF($K15&gt;=VALUE(RIGHT($G15,1)),"PASS","UNKNOWN"),IF(OR($H15="Partially met",$H15="Unmet"),"FAIL","UNKNOWN"))))))</x:f>
        <x:v>UNKNOWN</x:v>
      </x:c>
      <x:c r="U15" s="55" t="n">
        <x:f>IF($A15="","",IF($S15=0,0,IF(AND($K15&gt;=1,$L15="Yes"),1,0)))</x:f>
        <x:v>0</x:v>
      </x:c>
      <x:c r="V15" s="55" t="n">
        <x:f>IF($A15="","",IF(OR($S15=0,$H15="N/A",$L15&lt;&gt;"Yes"),0,$K15))</x:f>
        <x:v>0</x:v>
      </x:c>
      <x:c r="W15" s="55" t="str">
        <x:v>M-CGD-02 (critical-ref protection coverage).</x:v>
      </x:c>
      <x:c r="X15" s="55" t="str">
        <x:v>Pass only at 100%. Any missing assertion or unassessed matching-rule interaction is Fail or Unknown respectively.</x:v>
      </x:c>
      <x:c r="Y15" s="55" t="str">
        <x:v>SRC-001, SRC-004, SRC-005, SRC-006, SRC-010, SRC-013 | https://baseline.openssf.org/versions/2026-02-19.html</x:v>
      </x:c>
      <x:c r="Z15" s="55" t="str">
        <x:v>Scored once in CGD. G-04 Fail or Unknown caps the overall grade at D.</x:v>
      </x:c>
      <x:c r="AA15" s="55" t="str">
        <x:v>Inventory critical refs, apply effective least-privilege rules, disable deletion/force push, require acceptance checks, and test rule precedence.</x:v>
      </x:c>
      <x:c r="AB15" s="55" t="str">
        <x:f>IF($A15="","",IF(AND($Q15=1,$H15="N/A",NOT(AND($P15&lt;&gt;"",$O15&lt;&gt;"",IFERROR(VLOOKUP($O15,'Exceptions'!$A$5:$M$204,2,FALSE),"")="N/A determination",IFERROR(VLOOKUP($O15,'Exceptions'!$A$5:$M$204,13,FALSE),"")="Active",IFERROR(ISNUMBER(SEARCH($A15,IFERROR(VLOOKUP($O15,'Exceptions'!$A$5:$M$204,3,FALSE),""))),FALSE)))),"MISSING OR INVALID N/A DECISION",IF(AND($Q15=1,OR($H15="Partially met",$H15="Unmet"),OR($K15&lt;1,$L15&lt;&gt;"Yes")),"KNOWN RATING NEEDS FRESH E1",IF(AND($Q15=1,$H15="Met",OR($K15&lt;VALUE(RIGHT($G15,1)),$L15&lt;&gt;"Yes")),"EVIDENCE BELOW MINIMUM",IF(AND($Q15=1,OR($H15="",$H15="Unknown")),"UNASSESSED",IF(AND($H15="N/A",AND($P15&lt;&gt;"",$O15&lt;&gt;"",IFERROR(VLOOKUP($O15,'Exceptions'!$A$5:$M$204,2,FALSE),"")="N/A determination",IFERROR(VLOOKUP($O15,'Exceptions'!$A$5:$M$204,13,FALSE),"")="Active",IFERROR(ISNUMBER(SEARCH($A15,IFERROR(VLOOKUP($O15,'Exceptions'!$A$5:$M$204,3,FALSE),""))),FALSE))),"N/A APPROVED",IF($O15&lt;&gt;"","EXCEPTION REVIEW","OK")))))))</x:f>
        <x:v>UNASSESSED</x:v>
      </x:c>
    </x:row>
    <x:row r="16">
      <x:c r="A16" s="55" t="str">
        <x:v>CGD-03</x:v>
      </x:c>
      <x:c r="B16" s="55" t="str">
        <x:v>Change governance and branch discipline</x:v>
      </x:c>
      <x:c r="C16" s="55" t="str"/>
      <x:c r="D16" s="55" t="str">
        <x:v>Baseline</x:v>
      </x:c>
      <x:c r="E16" s="55" t="str">
        <x:v>Elevated and Critical; Baseline SHOULD comply when two trusted people are available.</x:v>
      </x:c>
      <x:c r="F16" s="55" t="str">
        <x:v>An independent trusted person MUST approve the final accepted revision for Elevated repositories; Critical repositories MUST meet their declared two-party review policy. The change author MUST NOT satisfy the independent approval.</x:v>
      </x:c>
      <x:c r="G16" s="55" t="str">
        <x:v>E3</x:v>
      </x:c>
      <x:c r="H16" s="51" t="str">
        <x:v>Unknown</x:v>
      </x:c>
      <x:c r="I16" s="55" t="n">
        <x:f>IF($A16="","",IF($H16="Met",1,IF($H16="Partially met",0.5,IF(OR($H16="Unmet",$H16="Unknown"),0,""))))</x:f>
        <x:v>0</x:v>
      </x:c>
      <x:c r="J16" s="51" t="str">
        <x:v>E0</x:v>
      </x:c>
      <x:c r="K16" s="55" t="n">
        <x:f>IF($A16="","",IF($J16="E4",4,IF($J16="E3",3,IF($J16="E2",2,IF($J16="E1",1,0)))))</x:f>
        <x:v>0</x:v>
      </x:c>
      <x:c r="L16" s="51" t="str">
        <x:v>Unknown</x:v>
      </x:c>
      <x:c r="M16" s="51" t="str"/>
      <x:c r="N16" s="51" t="str"/>
      <x:c r="O16" s="51" t="str"/>
      <x:c r="P16" s="51" t="str"/>
      <x:c r="Q16" s="55" t="n">
        <x:f>IF($A16="","",IF($D16="Baseline",1,IF($D16="Elevated",IF(OR('Profile'!$B$11="Elevated",'Profile'!$B$11="Critical"),1,0),IF($D16="Critical",IF('Profile'!$B$11="Critical",1,0),1))))</x:f>
        <x:v>1</x:v>
      </x:c>
      <x:c r="R16" s="55" t="n">
        <x:f>IF($A16="","",IF($Q16=0,0,IF($H16="N/A",0,IF($H16="Met",IF(AND($K16&gt;=VALUE(RIGHT($G16,1)),$L16="Yes"),1,0),IF($H16="Partially met",IF(AND($K16&gt;=1,$L16="Yes"),0.5,0),0)))))</x:f>
        <x:v>0</x:v>
      </x:c>
      <x:c r="S16" s="55" t="n">
        <x:f>IF($A16="","",IF($Q16=0,0,IF($H16="N/A",IF(AND($P16&lt;&gt;"",$O16&lt;&gt;"",IFERROR(VLOOKUP($O16,'Exceptions'!$A$5:$M$204,2,FALSE),"")="N/A determination",IFERROR(VLOOKUP($O16,'Exceptions'!$A$5:$M$204,13,FALSE),"")="Active",IFERROR(ISNUMBER(SEARCH($A16,IFERROR(VLOOKUP($O16,'Exceptions'!$A$5:$M$204,3,FALSE),""))),FALSE)),0,1),1)))</x:f>
        <x:v>1</x:v>
      </x:c>
      <x:c r="T16" s="55" t="str">
        <x:f>IF($A16="","",IF($C16="","",IF($H16="N/A",IF(AND($P16&lt;&gt;"",$O16&lt;&gt;"",IFERROR(VLOOKUP($O16,'Exceptions'!$A$5:$M$204,2,FALSE),"")="N/A determination",IFERROR(VLOOKUP($O16,'Exceptions'!$A$5:$M$204,13,FALSE),"")="Active",IFERROR(ISNUMBER(SEARCH($A16,IFERROR(VLOOKUP($O16,'Exceptions'!$A$5:$M$204,3,FALSE),""))),FALSE)),"N/A","FAIL"),IF(OR($H16="Unknown",$H16="",$K16=0,$L16&lt;&gt;"Yes"),"UNKNOWN",IF($H16="Met",IF($K16&gt;=VALUE(RIGHT($G16,1)),"PASS","UNKNOWN"),IF(OR($H16="Partially met",$H16="Unmet"),"FAIL","UNKNOWN"))))))</x:f>
      </x:c>
      <x:c r="U16" s="55" t="n">
        <x:f>IF($A16="","",IF($S16=0,0,IF(AND($K16&gt;=1,$L16="Yes"),1,0)))</x:f>
        <x:v>0</x:v>
      </x:c>
      <x:c r="V16" s="55" t="n">
        <x:f>IF($A16="","",IF(OR($S16=0,$H16="N/A",$L16&lt;&gt;"Yes"),0,$K16))</x:f>
        <x:v>0</x:v>
      </x:c>
      <x:c r="W16" s="55" t="str">
        <x:v>M-CGD-03 (independent final-review coverage).</x:v>
      </x:c>
      <x:c r="X16" s="55" t="str">
        <x:v>Pass at 100%; Concern from 95% to below 100%; Fail below 95% or any unreviewed Critical-tier human change.</x:v>
      </x:c>
      <x:c r="Y16" s="55" t="str">
        <x:v>SRC-001, SRC-004, SRC-005, SRC-006, SRC-010, SRC-013 | https://baseline.openssf.org/versions/2026-02-19.html</x:v>
      </x:c>
      <x:c r="Z16" s="55" t="str">
        <x:v>Scored only in CGD; no standalone grade cap.</x:v>
      </x:c>
      <x:c r="AA16" s="55" t="str">
        <x:v>Require final-revision approval, dismiss stale approvals or require last-push approval, add qualified reviewers, and narrow bot exceptions.</x:v>
      </x:c>
      <x:c r="AB16" s="55" t="str">
        <x:f>IF($A16="","",IF(AND($Q16=1,$H16="N/A",NOT(AND($P16&lt;&gt;"",$O16&lt;&gt;"",IFERROR(VLOOKUP($O16,'Exceptions'!$A$5:$M$204,2,FALSE),"")="N/A determination",IFERROR(VLOOKUP($O16,'Exceptions'!$A$5:$M$204,13,FALSE),"")="Active",IFERROR(ISNUMBER(SEARCH($A16,IFERROR(VLOOKUP($O16,'Exceptions'!$A$5:$M$204,3,FALSE),""))),FALSE)))),"MISSING OR INVALID N/A DECISION",IF(AND($Q16=1,OR($H16="Partially met",$H16="Unmet"),OR($K16&lt;1,$L16&lt;&gt;"Yes")),"KNOWN RATING NEEDS FRESH E1",IF(AND($Q16=1,$H16="Met",OR($K16&lt;VALUE(RIGHT($G16,1)),$L16&lt;&gt;"Yes")),"EVIDENCE BELOW MINIMUM",IF(AND($Q16=1,OR($H16="",$H16="Unknown")),"UNASSESSED",IF(AND($H16="N/A",AND($P16&lt;&gt;"",$O16&lt;&gt;"",IFERROR(VLOOKUP($O16,'Exceptions'!$A$5:$M$204,2,FALSE),"")="N/A determination",IFERROR(VLOOKUP($O16,'Exceptions'!$A$5:$M$204,13,FALSE),"")="Active",IFERROR(ISNUMBER(SEARCH($A16,IFERROR(VLOOKUP($O16,'Exceptions'!$A$5:$M$204,3,FALSE),""))),FALSE))),"N/A APPROVED",IF($O16&lt;&gt;"","EXCEPTION REVIEW","OK")))))))</x:f>
        <x:v>UNASSESSED</x:v>
      </x:c>
    </x:row>
    <x:row r="17">
      <x:c r="A17" s="55" t="str">
        <x:v>CGD-04</x:v>
      </x:c>
      <x:c r="B17" s="55" t="str">
        <x:v>Change governance and branch discipline</x:v>
      </x:c>
      <x:c r="C17" s="55" t="str"/>
      <x:c r="D17" s="55" t="str">
        <x:v>Baseline</x:v>
      </x:c>
      <x:c r="E17" s="55" t="str">
        <x:v>Baseline, Elevated, Critical; all active repositories.</x:v>
      </x:c>
      <x:c r="F17" s="55" t="str">
        <x:v>Acceptance controls MUST prevent a change from entering Main or another critical ref unless every applicable required check succeeds on the final revision.</x:v>
      </x:c>
      <x:c r="G17" s="55" t="str">
        <x:v>E3</x:v>
      </x:c>
      <x:c r="H17" s="51" t="str">
        <x:v>Unknown</x:v>
      </x:c>
      <x:c r="I17" s="55" t="n">
        <x:f>IF($A17="","",IF($H17="Met",1,IF($H17="Partially met",0.5,IF(OR($H17="Unmet",$H17="Unknown"),0,""))))</x:f>
        <x:v>0</x:v>
      </x:c>
      <x:c r="J17" s="51" t="str">
        <x:v>E0</x:v>
      </x:c>
      <x:c r="K17" s="55" t="n">
        <x:f>IF($A17="","",IF($J17="E4",4,IF($J17="E3",3,IF($J17="E2",2,IF($J17="E1",1,0)))))</x:f>
        <x:v>0</x:v>
      </x:c>
      <x:c r="L17" s="51" t="str">
        <x:v>Unknown</x:v>
      </x:c>
      <x:c r="M17" s="51" t="str"/>
      <x:c r="N17" s="51" t="str"/>
      <x:c r="O17" s="51" t="str"/>
      <x:c r="P17" s="51" t="str"/>
      <x:c r="Q17" s="55" t="n">
        <x:f>IF($A17="","",IF($D17="Baseline",1,IF($D17="Elevated",IF(OR('Profile'!$B$11="Elevated",'Profile'!$B$11="Critical"),1,0),IF($D17="Critical",IF('Profile'!$B$11="Critical",1,0),1))))</x:f>
        <x:v>1</x:v>
      </x:c>
      <x:c r="R17" s="55" t="n">
        <x:f>IF($A17="","",IF($Q17=0,0,IF($H17="N/A",0,IF($H17="Met",IF(AND($K17&gt;=VALUE(RIGHT($G17,1)),$L17="Yes"),1,0),IF($H17="Partially met",IF(AND($K17&gt;=1,$L17="Yes"),0.5,0),0)))))</x:f>
        <x:v>0</x:v>
      </x:c>
      <x:c r="S17" s="55" t="n">
        <x:f>IF($A17="","",IF($Q17=0,0,IF($H17="N/A",IF(AND($P17&lt;&gt;"",$O17&lt;&gt;"",IFERROR(VLOOKUP($O17,'Exceptions'!$A$5:$M$204,2,FALSE),"")="N/A determination",IFERROR(VLOOKUP($O17,'Exceptions'!$A$5:$M$204,13,FALSE),"")="Active",IFERROR(ISNUMBER(SEARCH($A17,IFERROR(VLOOKUP($O17,'Exceptions'!$A$5:$M$204,3,FALSE),""))),FALSE)),0,1),1)))</x:f>
        <x:v>1</x:v>
      </x:c>
      <x:c r="T17" s="55" t="str">
        <x:f>IF($A17="","",IF($C17="","",IF($H17="N/A",IF(AND($P17&lt;&gt;"",$O17&lt;&gt;"",IFERROR(VLOOKUP($O17,'Exceptions'!$A$5:$M$204,2,FALSE),"")="N/A determination",IFERROR(VLOOKUP($O17,'Exceptions'!$A$5:$M$204,13,FALSE),"")="Active",IFERROR(ISNUMBER(SEARCH($A17,IFERROR(VLOOKUP($O17,'Exceptions'!$A$5:$M$204,3,FALSE),""))),FALSE)),"N/A","FAIL"),IF(OR($H17="Unknown",$H17="",$K17=0,$L17&lt;&gt;"Yes"),"UNKNOWN",IF($H17="Met",IF($K17&gt;=VALUE(RIGHT($G17,1)),"PASS","UNKNOWN"),IF(OR($H17="Partially met",$H17="Unmet"),"FAIL","UNKNOWN"))))))</x:f>
      </x:c>
      <x:c r="U17" s="55" t="n">
        <x:f>IF($A17="","",IF($S17=0,0,IF(AND($K17&gt;=1,$L17="Yes"),1,0)))</x:f>
        <x:v>0</x:v>
      </x:c>
      <x:c r="V17" s="55" t="n">
        <x:f>IF($A17="","",IF(OR($S17=0,$H17="N/A",$L17&lt;&gt;"Yes"),0,$K17))</x:f>
        <x:v>0</x:v>
      </x:c>
      <x:c r="W17" s="55" t="str">
        <x:v>M-CGD-04 (required-check enforcement coverage).</x:v>
      </x:c>
      <x:c r="X17" s="55" t="str">
        <x:v>Pass at 100%; any accepted change lacking enforced final-revision required checks is Fail. Attempted omissions that were blocked are reported as control-effectiveness evidence but are not denominator failures.</x:v>
      </x:c>
      <x:c r="Y17" s="55" t="str">
        <x:v>SRC-001, SRC-004, SRC-006, SRC-010, SRC-013 | https://baseline.openssf.org/versions/2026-02-19.html</x:v>
      </x:c>
      <x:c r="Z17" s="55" t="str">
        <x:v>Scored only in CGD. The result may inform a BTC finding without duplicate points; when an accepted change lacked required validation, G-03 also fails.</x:v>
      </x:c>
      <x:c r="AA17" s="55" t="str">
        <x:v>Bind checks to protected refs and final revisions, close bypass paths, and verify merge-queue or direct-trunk enforcement.</x:v>
      </x:c>
      <x:c r="AB17" s="55" t="str">
        <x:f>IF($A17="","",IF(AND($Q17=1,$H17="N/A",NOT(AND($P17&lt;&gt;"",$O17&lt;&gt;"",IFERROR(VLOOKUP($O17,'Exceptions'!$A$5:$M$204,2,FALSE),"")="N/A determination",IFERROR(VLOOKUP($O17,'Exceptions'!$A$5:$M$204,13,FALSE),"")="Active",IFERROR(ISNUMBER(SEARCH($A17,IFERROR(VLOOKUP($O17,'Exceptions'!$A$5:$M$204,3,FALSE),""))),FALSE)))),"MISSING OR INVALID N/A DECISION",IF(AND($Q17=1,OR($H17="Partially met",$H17="Unmet"),OR($K17&lt;1,$L17&lt;&gt;"Yes")),"KNOWN RATING NEEDS FRESH E1",IF(AND($Q17=1,$H17="Met",OR($K17&lt;VALUE(RIGHT($G17,1)),$L17&lt;&gt;"Yes")),"EVIDENCE BELOW MINIMUM",IF(AND($Q17=1,OR($H17="",$H17="Unknown")),"UNASSESSED",IF(AND($H17="N/A",AND($P17&lt;&gt;"",$O17&lt;&gt;"",IFERROR(VLOOKUP($O17,'Exceptions'!$A$5:$M$204,2,FALSE),"")="N/A determination",IFERROR(VLOOKUP($O17,'Exceptions'!$A$5:$M$204,13,FALSE),"")="Active",IFERROR(ISNUMBER(SEARCH($A17,IFERROR(VLOOKUP($O17,'Exceptions'!$A$5:$M$204,3,FALSE),""))),FALSE))),"N/A APPROVED",IF($O17&lt;&gt;"","EXCEPTION REVIEW","OK")))))))</x:f>
        <x:v>UNASSESSED</x:v>
      </x:c>
    </x:row>
    <x:row r="18">
      <x:c r="A18" s="55" t="str">
        <x:v>CGD-05</x:v>
      </x:c>
      <x:c r="B18" s="55" t="str">
        <x:v>Change governance and branch discipline</x:v>
      </x:c>
      <x:c r="C18" s="55" t="str"/>
      <x:c r="D18" s="55" t="str">
        <x:v>Baseline</x:v>
      </x:c>
      <x:c r="E18" s="55" t="str">
        <x:v>Baseline, Elevated, Critical; all active repositories after classification as Trunk-based, GitHub Flow/short-lived feature branches, GitFlow, Environment-branch flow, Release train/multi-version maintenance, GitOps promotion, Fork/integration-manager, Direct gated trunk, or Custom/hybrid.</x:v>
      </x:c>
      <x:c r="F18" s="55" t="str">
        <x:v>The repository MUST declare its integration and release topology and SHOULD conform to the corresponding branch-lifetime, merge-direction, cleanup, and fix-propagation rules.</x:v>
      </x:c>
      <x:c r="G18" s="55" t="str">
        <x:v>E3</x:v>
      </x:c>
      <x:c r="H18" s="51" t="str">
        <x:v>Unknown</x:v>
      </x:c>
      <x:c r="I18" s="55" t="n">
        <x:f>IF($A18="","",IF($H18="Met",1,IF($H18="Partially met",0.5,IF(OR($H18="Unmet",$H18="Unknown"),0,""))))</x:f>
        <x:v>0</x:v>
      </x:c>
      <x:c r="J18" s="51" t="str">
        <x:v>E0</x:v>
      </x:c>
      <x:c r="K18" s="55" t="n">
        <x:f>IF($A18="","",IF($J18="E4",4,IF($J18="E3",3,IF($J18="E2",2,IF($J18="E1",1,0)))))</x:f>
        <x:v>0</x:v>
      </x:c>
      <x:c r="L18" s="51" t="str">
        <x:v>Unknown</x:v>
      </x:c>
      <x:c r="M18" s="51" t="str"/>
      <x:c r="N18" s="51" t="str"/>
      <x:c r="O18" s="51" t="str"/>
      <x:c r="P18" s="51" t="str"/>
      <x:c r="Q18" s="55" t="n">
        <x:f>IF($A18="","",IF($D18="Baseline",1,IF($D18="Elevated",IF(OR('Profile'!$B$11="Elevated",'Profile'!$B$11="Critical"),1,0),IF($D18="Critical",IF('Profile'!$B$11="Critical",1,0),1))))</x:f>
        <x:v>1</x:v>
      </x:c>
      <x:c r="R18" s="55" t="n">
        <x:f>IF($A18="","",IF($Q18=0,0,IF($H18="N/A",0,IF($H18="Met",IF(AND($K18&gt;=VALUE(RIGHT($G18,1)),$L18="Yes"),1,0),IF($H18="Partially met",IF(AND($K18&gt;=1,$L18="Yes"),0.5,0),0)))))</x:f>
        <x:v>0</x:v>
      </x:c>
      <x:c r="S18" s="55" t="n">
        <x:f>IF($A18="","",IF($Q18=0,0,IF($H18="N/A",IF(AND($P18&lt;&gt;"",$O18&lt;&gt;"",IFERROR(VLOOKUP($O18,'Exceptions'!$A$5:$M$204,2,FALSE),"")="N/A determination",IFERROR(VLOOKUP($O18,'Exceptions'!$A$5:$M$204,13,FALSE),"")="Active",IFERROR(ISNUMBER(SEARCH($A18,IFERROR(VLOOKUP($O18,'Exceptions'!$A$5:$M$204,3,FALSE),""))),FALSE)),0,1),1)))</x:f>
        <x:v>1</x:v>
      </x:c>
      <x:c r="T18" s="55" t="str">
        <x:f>IF($A18="","",IF($C18="","",IF($H18="N/A",IF(AND($P18&lt;&gt;"",$O18&lt;&gt;"",IFERROR(VLOOKUP($O18,'Exceptions'!$A$5:$M$204,2,FALSE),"")="N/A determination",IFERROR(VLOOKUP($O18,'Exceptions'!$A$5:$M$204,13,FALSE),"")="Active",IFERROR(ISNUMBER(SEARCH($A18,IFERROR(VLOOKUP($O18,'Exceptions'!$A$5:$M$204,3,FALSE),""))),FALSE)),"N/A","FAIL"),IF(OR($H18="Unknown",$H18="",$K18=0,$L18&lt;&gt;"Yes"),"UNKNOWN",IF($H18="Met",IF($K18&gt;=VALUE(RIGHT($G18,1)),"PASS","UNKNOWN"),IF(OR($H18="Partially met",$H18="Unmet"),"FAIL","UNKNOWN"))))))</x:f>
      </x:c>
      <x:c r="U18" s="55" t="n">
        <x:f>IF($A18="","",IF($S18=0,0,IF(AND($K18&gt;=1,$L18="Yes"),1,0)))</x:f>
        <x:v>0</x:v>
      </x:c>
      <x:c r="V18" s="55" t="n">
        <x:f>IF($A18="","",IF(OR($S18=0,$H18="N/A",$L18&lt;&gt;"Yes"),0,$K18))</x:f>
        <x:v>0</x:v>
      </x:c>
      <x:c r="W18" s="55" t="str">
        <x:v>M-CGD-05 (methodology event-conformance rate) and M-CGD-05B (backport/reconciliation drift).</x:v>
      </x:c>
      <x:c r="X18" s="55" t="str">
        <x:v>M-CGD-05 is Pass at 95% or higher, Concern from 80% to below 95%, and Fail below 80% or when observed topology materially contradicts the declared production path. M-CGD-05B is Pass at 0% overdue drift, Concern above 0% through 5%, and Fail above 5% or for any overdue Critical-tier obligation.</x:v>
      </x:c>
      <x:c r="Y18" s="55" t="str">
        <x:v>SRC-001, SRC-012, SRC-014, SRC-015, SRC-016, SRC-017, SRC-021 | https://docs.github.com/en/get-started/using-github/github-flow</x:v>
      </x:c>
      <x:c r="Z18" s="55" t="str">
        <x:v>Scored once in CGD using the worst applicable threshold band across M-CGD-05 and M-CGD-05B; an N/A M-CGD-05B is excluded and neither linked measure creates an extra point. A contradiction may inform an SPI-04 finding, which is evaluated under its own control without duplicating this control's points.</x:v>
      </x:c>
      <x:c r="AA18" s="55" t="str">
        <x:v>Correct the declaration or operating behavior, shorten/retire branches as appropriate, and document intentional hybrid rules.</x:v>
      </x:c>
      <x:c r="AB18" s="55" t="str">
        <x:f>IF($A18="","",IF(AND($Q18=1,$H18="N/A",NOT(AND($P18&lt;&gt;"",$O18&lt;&gt;"",IFERROR(VLOOKUP($O18,'Exceptions'!$A$5:$M$204,2,FALSE),"")="N/A determination",IFERROR(VLOOKUP($O18,'Exceptions'!$A$5:$M$204,13,FALSE),"")="Active",IFERROR(ISNUMBER(SEARCH($A18,IFERROR(VLOOKUP($O18,'Exceptions'!$A$5:$M$204,3,FALSE),""))),FALSE)))),"MISSING OR INVALID N/A DECISION",IF(AND($Q18=1,OR($H18="Partially met",$H18="Unmet"),OR($K18&lt;1,$L18&lt;&gt;"Yes")),"KNOWN RATING NEEDS FRESH E1",IF(AND($Q18=1,$H18="Met",OR($K18&lt;VALUE(RIGHT($G18,1)),$L18&lt;&gt;"Yes")),"EVIDENCE BELOW MINIMUM",IF(AND($Q18=1,OR($H18="",$H18="Unknown")),"UNASSESSED",IF(AND($H18="N/A",AND($P18&lt;&gt;"",$O18&lt;&gt;"",IFERROR(VLOOKUP($O18,'Exceptions'!$A$5:$M$204,2,FALSE),"")="N/A determination",IFERROR(VLOOKUP($O18,'Exceptions'!$A$5:$M$204,13,FALSE),"")="Active",IFERROR(ISNUMBER(SEARCH($A18,IFERROR(VLOOKUP($O18,'Exceptions'!$A$5:$M$204,3,FALSE),""))),FALSE))),"N/A APPROVED",IF($O18&lt;&gt;"","EXCEPTION REVIEW","OK")))))))</x:f>
        <x:v>UNASSESSED</x:v>
      </x:c>
    </x:row>
    <x:row r="19">
      <x:c r="A19" s="55" t="str">
        <x:v>CGD-06</x:v>
      </x:c>
      <x:c r="B19" s="55" t="str">
        <x:v>Change governance and branch discipline</x:v>
      </x:c>
      <x:c r="C19" s="55" t="str"/>
      <x:c r="D19" s="55" t="str">
        <x:v>Baseline</x:v>
      </x:c>
      <x:c r="E19" s="55" t="str">
        <x:v>Baseline, Elevated, Critical; all repositories whose controls can be bypassed or administered.</x:v>
      </x:c>
      <x:c r="F19" s="55" t="str">
        <x:v>Every bypass, force operation, rule change, emergency update, and other privileged change MUST be least-privileged, logged, attributable, justified, and reviewed after use.</x:v>
      </x:c>
      <x:c r="G19" s="55" t="str">
        <x:v>E3</x:v>
      </x:c>
      <x:c r="H19" s="51" t="str">
        <x:v>Unknown</x:v>
      </x:c>
      <x:c r="I19" s="55" t="n">
        <x:f>IF($A19="","",IF($H19="Met",1,IF($H19="Partially met",0.5,IF(OR($H19="Unmet",$H19="Unknown"),0,""))))</x:f>
        <x:v>0</x:v>
      </x:c>
      <x:c r="J19" s="51" t="str">
        <x:v>E0</x:v>
      </x:c>
      <x:c r="K19" s="55" t="n">
        <x:f>IF($A19="","",IF($J19="E4",4,IF($J19="E3",3,IF($J19="E2",2,IF($J19="E1",1,0)))))</x:f>
        <x:v>0</x:v>
      </x:c>
      <x:c r="L19" s="51" t="str">
        <x:v>Unknown</x:v>
      </x:c>
      <x:c r="M19" s="51" t="str"/>
      <x:c r="N19" s="51" t="str"/>
      <x:c r="O19" s="51" t="str"/>
      <x:c r="P19" s="51" t="str"/>
      <x:c r="Q19" s="55" t="n">
        <x:f>IF($A19="","",IF($D19="Baseline",1,IF($D19="Elevated",IF(OR('Profile'!$B$11="Elevated",'Profile'!$B$11="Critical"),1,0),IF($D19="Critical",IF('Profile'!$B$11="Critical",1,0),1))))</x:f>
        <x:v>1</x:v>
      </x:c>
      <x:c r="R19" s="55" t="n">
        <x:f>IF($A19="","",IF($Q19=0,0,IF($H19="N/A",0,IF($H19="Met",IF(AND($K19&gt;=VALUE(RIGHT($G19,1)),$L19="Yes"),1,0),IF($H19="Partially met",IF(AND($K19&gt;=1,$L19="Yes"),0.5,0),0)))))</x:f>
        <x:v>0</x:v>
      </x:c>
      <x:c r="S19" s="55" t="n">
        <x:f>IF($A19="","",IF($Q19=0,0,IF($H19="N/A",IF(AND($P19&lt;&gt;"",$O19&lt;&gt;"",IFERROR(VLOOKUP($O19,'Exceptions'!$A$5:$M$204,2,FALSE),"")="N/A determination",IFERROR(VLOOKUP($O19,'Exceptions'!$A$5:$M$204,13,FALSE),"")="Active",IFERROR(ISNUMBER(SEARCH($A19,IFERROR(VLOOKUP($O19,'Exceptions'!$A$5:$M$204,3,FALSE),""))),FALSE)),0,1),1)))</x:f>
        <x:v>1</x:v>
      </x:c>
      <x:c r="T19" s="55" t="str">
        <x:f>IF($A19="","",IF($C19="","",IF($H19="N/A",IF(AND($P19&lt;&gt;"",$O19&lt;&gt;"",IFERROR(VLOOKUP($O19,'Exceptions'!$A$5:$M$204,2,FALSE),"")="N/A determination",IFERROR(VLOOKUP($O19,'Exceptions'!$A$5:$M$204,13,FALSE),"")="Active",IFERROR(ISNUMBER(SEARCH($A19,IFERROR(VLOOKUP($O19,'Exceptions'!$A$5:$M$204,3,FALSE),""))),FALSE)),"N/A","FAIL"),IF(OR($H19="Unknown",$H19="",$K19=0,$L19&lt;&gt;"Yes"),"UNKNOWN",IF($H19="Met",IF($K19&gt;=VALUE(RIGHT($G19,1)),"PASS","UNKNOWN"),IF(OR($H19="Partially met",$H19="Unmet"),"FAIL","UNKNOWN"))))))</x:f>
      </x:c>
      <x:c r="U19" s="55" t="n">
        <x:f>IF($A19="","",IF($S19=0,0,IF(AND($K19&gt;=1,$L19="Yes"),1,0)))</x:f>
        <x:v>0</x:v>
      </x:c>
      <x:c r="V19" s="55" t="n">
        <x:f>IF($A19="","",IF(OR($S19=0,$H19="N/A",$L19&lt;&gt;"Yes"),0,$K19))</x:f>
        <x:v>0</x:v>
      </x:c>
      <x:c r="W19" s="55" t="str">
        <x:v>M-CGD-06 (accountable bypass coverage).</x:v>
      </x:c>
      <x:c r="X19" s="55" t="str">
        <x:v>Pass at 100%; Concern from 95% to below 100%; Fail below 95% or any unattributed Critical-tier event.</x:v>
      </x:c>
      <x:c r="Y19" s="55" t="str">
        <x:v>SRC-001, SRC-003, SRC-004, SRC-005, SRC-010, SRC-013 | https://csrc.nist.gov/pubs/sp/800/218/final</x:v>
      </x:c>
      <x:c r="Z19" s="55" t="str">
        <x:v>Scored only in CGD; a bypass that defeats a foundational gate also causes that gate to Fail without adding a second CGD point.</x:v>
      </x:c>
      <x:c r="AA19" s="55" t="str">
        <x:v>Centralize privileged roles, enable audit logging, require reason fields and time bounds, review events, and remove persistent bypass actors.</x:v>
      </x:c>
      <x:c r="AB19" s="55" t="str">
        <x:f>IF($A19="","",IF(AND($Q19=1,$H19="N/A",NOT(AND($P19&lt;&gt;"",$O19&lt;&gt;"",IFERROR(VLOOKUP($O19,'Exceptions'!$A$5:$M$204,2,FALSE),"")="N/A determination",IFERROR(VLOOKUP($O19,'Exceptions'!$A$5:$M$204,13,FALSE),"")="Active",IFERROR(ISNUMBER(SEARCH($A19,IFERROR(VLOOKUP($O19,'Exceptions'!$A$5:$M$204,3,FALSE),""))),FALSE)))),"MISSING OR INVALID N/A DECISION",IF(AND($Q19=1,OR($H19="Partially met",$H19="Unmet"),OR($K19&lt;1,$L19&lt;&gt;"Yes")),"KNOWN RATING NEEDS FRESH E1",IF(AND($Q19=1,$H19="Met",OR($K19&lt;VALUE(RIGHT($G19,1)),$L19&lt;&gt;"Yes")),"EVIDENCE BELOW MINIMUM",IF(AND($Q19=1,OR($H19="",$H19="Unknown")),"UNASSESSED",IF(AND($H19="N/A",AND($P19&lt;&gt;"",$O19&lt;&gt;"",IFERROR(VLOOKUP($O19,'Exceptions'!$A$5:$M$204,2,FALSE),"")="N/A determination",IFERROR(VLOOKUP($O19,'Exceptions'!$A$5:$M$204,13,FALSE),"")="Active",IFERROR(ISNUMBER(SEARCH($A19,IFERROR(VLOOKUP($O19,'Exceptions'!$A$5:$M$204,3,FALSE),""))),FALSE))),"N/A APPROVED",IF($O19&lt;&gt;"","EXCEPTION REVIEW","OK")))))))</x:f>
        <x:v>UNASSESSED</x:v>
      </x:c>
    </x:row>
    <x:row r="20">
      <x:c r="A20" s="55" t="str">
        <x:v>SSC-01</x:v>
      </x:c>
      <x:c r="B20" s="55" t="str">
        <x:v>Security and software-supply-chain health</x:v>
      </x:c>
      <x:c r="C20" s="55" t="str"/>
      <x:c r="D20" s="55" t="str">
        <x:v>Baseline</x:v>
      </x:c>
      <x:c r="E20" s="55" t="str">
        <x:v>Baseline, Elevated, Critical; all active repositories.</x:v>
      </x:c>
      <x:c r="F20" s="55" t="str">
        <x:v>The repository and its workflows MUST prevent unencrypted credentials and secrets from being accepted where feasible, detect exposures, and require revocation and documented response when exposure occurs.</x:v>
      </x:c>
      <x:c r="G20" s="55" t="str">
        <x:v>E3</x:v>
      </x:c>
      <x:c r="H20" s="51" t="str">
        <x:v>Unknown</x:v>
      </x:c>
      <x:c r="I20" s="55" t="n">
        <x:f>IF($A20="","",IF($H20="Met",1,IF($H20="Partially met",0.5,IF(OR($H20="Unmet",$H20="Unknown"),0,""))))</x:f>
        <x:v>0</x:v>
      </x:c>
      <x:c r="J20" s="51" t="str">
        <x:v>E0</x:v>
      </x:c>
      <x:c r="K20" s="55" t="n">
        <x:f>IF($A20="","",IF($J20="E4",4,IF($J20="E3",3,IF($J20="E2",2,IF($J20="E1",1,0)))))</x:f>
        <x:v>0</x:v>
      </x:c>
      <x:c r="L20" s="51" t="str">
        <x:v>Unknown</x:v>
      </x:c>
      <x:c r="M20" s="51" t="str"/>
      <x:c r="N20" s="51" t="str"/>
      <x:c r="O20" s="51" t="str"/>
      <x:c r="P20" s="51" t="str"/>
      <x:c r="Q20" s="55" t="n">
        <x:f>IF($A20="","",IF($D20="Baseline",1,IF($D20="Elevated",IF(OR('Profile'!$B$11="Elevated",'Profile'!$B$11="Critical"),1,0),IF($D20="Critical",IF('Profile'!$B$11="Critical",1,0),1))))</x:f>
        <x:v>1</x:v>
      </x:c>
      <x:c r="R20" s="55" t="n">
        <x:f>IF($A20="","",IF($Q20=0,0,IF($H20="N/A",0,IF($H20="Met",IF(AND($K20&gt;=VALUE(RIGHT($G20,1)),$L20="Yes"),1,0),IF($H20="Partially met",IF(AND($K20&gt;=1,$L20="Yes"),0.5,0),0)))))</x:f>
        <x:v>0</x:v>
      </x:c>
      <x:c r="S20" s="55" t="n">
        <x:f>IF($A20="","",IF($Q20=0,0,IF($H20="N/A",IF(AND($P20&lt;&gt;"",$O20&lt;&gt;"",IFERROR(VLOOKUP($O20,'Exceptions'!$A$5:$M$204,2,FALSE),"")="N/A determination",IFERROR(VLOOKUP($O20,'Exceptions'!$A$5:$M$204,13,FALSE),"")="Active",IFERROR(ISNUMBER(SEARCH($A20,IFERROR(VLOOKUP($O20,'Exceptions'!$A$5:$M$204,3,FALSE),""))),FALSE)),0,1),1)))</x:f>
        <x:v>1</x:v>
      </x:c>
      <x:c r="T20" s="55" t="str">
        <x:f>IF($A20="","",IF($C20="","",IF($H20="N/A",IF(AND($P20&lt;&gt;"",$O20&lt;&gt;"",IFERROR(VLOOKUP($O20,'Exceptions'!$A$5:$M$204,2,FALSE),"")="N/A determination",IFERROR(VLOOKUP($O20,'Exceptions'!$A$5:$M$204,13,FALSE),"")="Active",IFERROR(ISNUMBER(SEARCH($A20,IFERROR(VLOOKUP($O20,'Exceptions'!$A$5:$M$204,3,FALSE),""))),FALSE)),"N/A","FAIL"),IF(OR($H20="Unknown",$H20="",$K20=0,$L20&lt;&gt;"Yes"),"UNKNOWN",IF($H20="Met",IF($K20&gt;=VALUE(RIGHT($G20,1)),"PASS","UNKNOWN"),IF(OR($H20="Partially met",$H20="Unmet"),"FAIL","UNKNOWN"))))))</x:f>
      </x:c>
      <x:c r="U20" s="55" t="n">
        <x:f>IF($A20="","",IF($S20=0,0,IF(AND($K20&gt;=1,$L20="Yes"),1,0)))</x:f>
        <x:v>0</x:v>
      </x:c>
      <x:c r="V20" s="55" t="n">
        <x:f>IF($A20="","",IF(OR($S20=0,$H20="N/A",$L20&lt;&gt;"Yes"),0,$K20))</x:f>
        <x:v>0</x:v>
      </x:c>
      <x:c r="W20" s="55" t="str">
        <x:v>M-SSC-01 (secret-control compliance).</x:v>
      </x:c>
      <x:c r="X20" s="55" t="str">
        <x:v>Pass at 100%; Concern only when the sole unsatisfied assertion is a preventive-control review overdue by no more than 25% of its tier interval and there are zero unresolved verified live secrets; Fail for any other unsatisfied assertion, a review overdue by more than 25%, or any unresolved verified live secret.</x:v>
      </x:c>
      <x:c r="Y20" s="55" t="str">
        <x:v>SRC-001, SRC-003, SRC-004, SRC-006 | https://csrc.nist.gov/pubs/sp/800/218/final</x:v>
      </x:c>
      <x:c r="Z20" s="55" t="str">
        <x:v>Scored only in SSC; no standalone catalog grade cap. External incident-governance decisions are reported separately and do not alter the provisional 0.1.0-draft score.</x:v>
      </x:c>
      <x:c r="AA20" s="55" t="str">
        <x:v>Revoke first, rotate dependent systems, remove or legally expunge content where required, close prevention gaps, and record the incident.</x:v>
      </x:c>
      <x:c r="AB20" s="55" t="str">
        <x:f>IF($A20="","",IF(AND($Q20=1,$H20="N/A",NOT(AND($P20&lt;&gt;"",$O20&lt;&gt;"",IFERROR(VLOOKUP($O20,'Exceptions'!$A$5:$M$204,2,FALSE),"")="N/A determination",IFERROR(VLOOKUP($O20,'Exceptions'!$A$5:$M$204,13,FALSE),"")="Active",IFERROR(ISNUMBER(SEARCH($A20,IFERROR(VLOOKUP($O20,'Exceptions'!$A$5:$M$204,3,FALSE),""))),FALSE)))),"MISSING OR INVALID N/A DECISION",IF(AND($Q20=1,OR($H20="Partially met",$H20="Unmet"),OR($K20&lt;1,$L20&lt;&gt;"Yes")),"KNOWN RATING NEEDS FRESH E1",IF(AND($Q20=1,$H20="Met",OR($K20&lt;VALUE(RIGHT($G20,1)),$L20&lt;&gt;"Yes")),"EVIDENCE BELOW MINIMUM",IF(AND($Q20=1,OR($H20="",$H20="Unknown")),"UNASSESSED",IF(AND($H20="N/A",AND($P20&lt;&gt;"",$O20&lt;&gt;"",IFERROR(VLOOKUP($O20,'Exceptions'!$A$5:$M$204,2,FALSE),"")="N/A determination",IFERROR(VLOOKUP($O20,'Exceptions'!$A$5:$M$204,13,FALSE),"")="Active",IFERROR(ISNUMBER(SEARCH($A20,IFERROR(VLOOKUP($O20,'Exceptions'!$A$5:$M$204,3,FALSE),""))),FALSE))),"N/A APPROVED",IF($O20&lt;&gt;"","EXCEPTION REVIEW","OK")))))))</x:f>
        <x:v>UNASSESSED</x:v>
      </x:c>
    </x:row>
    <x:row r="21">
      <x:c r="A21" s="55" t="str">
        <x:v>SSC-02</x:v>
      </x:c>
      <x:c r="B21" s="55" t="str">
        <x:v>Security and software-supply-chain health</x:v>
      </x:c>
      <x:c r="C21" s="55" t="str"/>
      <x:c r="D21" s="55" t="str">
        <x:v>Baseline</x:v>
      </x:c>
      <x:c r="E21" s="55" t="str">
        <x:v>Baseline, Elevated, Critical; repositories with direct software, action, image, module, plugin, model, or data dependencies.</x:v>
      </x:c>
      <x:c r="F21" s="55" t="str">
        <x:v>Direct dependencies MUST be declared in machine-readable manifests or equivalent inventories, and released artifacts at Elevated/Critical tiers MUST have a version-linked dependency inventory or SBOM appropriate to the artifact.</x:v>
      </x:c>
      <x:c r="G21" s="55" t="str">
        <x:v>E3</x:v>
      </x:c>
      <x:c r="H21" s="51" t="str">
        <x:v>Unknown</x:v>
      </x:c>
      <x:c r="I21" s="55" t="n">
        <x:f>IF($A21="","",IF($H21="Met",1,IF($H21="Partially met",0.5,IF(OR($H21="Unmet",$H21="Unknown"),0,""))))</x:f>
        <x:v>0</x:v>
      </x:c>
      <x:c r="J21" s="51" t="str">
        <x:v>E0</x:v>
      </x:c>
      <x:c r="K21" s="55" t="n">
        <x:f>IF($A21="","",IF($J21="E4",4,IF($J21="E3",3,IF($J21="E2",2,IF($J21="E1",1,0)))))</x:f>
        <x:v>0</x:v>
      </x:c>
      <x:c r="L21" s="51" t="str">
        <x:v>Unknown</x:v>
      </x:c>
      <x:c r="M21" s="51" t="str"/>
      <x:c r="N21" s="51" t="str"/>
      <x:c r="O21" s="51" t="str"/>
      <x:c r="P21" s="51" t="str"/>
      <x:c r="Q21" s="55" t="n">
        <x:f>IF($A21="","",IF($D21="Baseline",1,IF($D21="Elevated",IF(OR('Profile'!$B$11="Elevated",'Profile'!$B$11="Critical"),1,0),IF($D21="Critical",IF('Profile'!$B$11="Critical",1,0),1))))</x:f>
        <x:v>1</x:v>
      </x:c>
      <x:c r="R21" s="55" t="n">
        <x:f>IF($A21="","",IF($Q21=0,0,IF($H21="N/A",0,IF($H21="Met",IF(AND($K21&gt;=VALUE(RIGHT($G21,1)),$L21="Yes"),1,0),IF($H21="Partially met",IF(AND($K21&gt;=1,$L21="Yes"),0.5,0),0)))))</x:f>
        <x:v>0</x:v>
      </x:c>
      <x:c r="S21" s="55" t="n">
        <x:f>IF($A21="","",IF($Q21=0,0,IF($H21="N/A",IF(AND($P21&lt;&gt;"",$O21&lt;&gt;"",IFERROR(VLOOKUP($O21,'Exceptions'!$A$5:$M$204,2,FALSE),"")="N/A determination",IFERROR(VLOOKUP($O21,'Exceptions'!$A$5:$M$204,13,FALSE),"")="Active",IFERROR(ISNUMBER(SEARCH($A21,IFERROR(VLOOKUP($O21,'Exceptions'!$A$5:$M$204,3,FALSE),""))),FALSE)),0,1),1)))</x:f>
        <x:v>1</x:v>
      </x:c>
      <x:c r="T21" s="55" t="str">
        <x:f>IF($A21="","",IF($C21="","",IF($H21="N/A",IF(AND($P21&lt;&gt;"",$O21&lt;&gt;"",IFERROR(VLOOKUP($O21,'Exceptions'!$A$5:$M$204,2,FALSE),"")="N/A determination",IFERROR(VLOOKUP($O21,'Exceptions'!$A$5:$M$204,13,FALSE),"")="Active",IFERROR(ISNUMBER(SEARCH($A21,IFERROR(VLOOKUP($O21,'Exceptions'!$A$5:$M$204,3,FALSE),""))),FALSE)),"N/A","FAIL"),IF(OR($H21="Unknown",$H21="",$K21=0,$L21&lt;&gt;"Yes"),"UNKNOWN",IF($H21="Met",IF($K21&gt;=VALUE(RIGHT($G21,1)),"PASS","UNKNOWN"),IF(OR($H21="Partially met",$H21="Unmet"),"FAIL","UNKNOWN"))))))</x:f>
      </x:c>
      <x:c r="U21" s="55" t="n">
        <x:f>IF($A21="","",IF($S21=0,0,IF(AND($K21&gt;=1,$L21="Yes"),1,0)))</x:f>
        <x:v>0</x:v>
      </x:c>
      <x:c r="V21" s="55" t="n">
        <x:f>IF($A21="","",IF(OR($S21=0,$H21="N/A",$L21&lt;&gt;"Yes"),0,$K21))</x:f>
        <x:v>0</x:v>
      </x:c>
      <x:c r="W21" s="55" t="str">
        <x:v>M-SSC-02 (dependency inventory coverage).</x:v>
      </x:c>
      <x:c r="X21" s="55" t="str">
        <x:v>Pass at 100%; Concern from 95% to below 100%; Fail below 95% or any untracked privileged build/workflow dependency.</x:v>
      </x:c>
      <x:c r="Y21" s="55" t="str">
        <x:v>SRC-001, SRC-004, SRC-006, SRC-020 | https://baseline.openssf.org/versions/2026-02-19.html</x:v>
      </x:c>
      <x:c r="Z21" s="55" t="str">
        <x:v>Scored only in SSC; no standalone grade cap.</x:v>
      </x:c>
      <x:c r="AA21" s="55" t="str">
        <x:v>Add missing manifests/locks, inventory non-language dependencies, produce release-linked SBOMs, and reconcile declared with discovered inputs.</x:v>
      </x:c>
      <x:c r="AB21" s="55" t="str">
        <x:f>IF($A21="","",IF(AND($Q21=1,$H21="N/A",NOT(AND($P21&lt;&gt;"",$O21&lt;&gt;"",IFERROR(VLOOKUP($O21,'Exceptions'!$A$5:$M$204,2,FALSE),"")="N/A determination",IFERROR(VLOOKUP($O21,'Exceptions'!$A$5:$M$204,13,FALSE),"")="Active",IFERROR(ISNUMBER(SEARCH($A21,IFERROR(VLOOKUP($O21,'Exceptions'!$A$5:$M$204,3,FALSE),""))),FALSE)))),"MISSING OR INVALID N/A DECISION",IF(AND($Q21=1,OR($H21="Partially met",$H21="Unmet"),OR($K21&lt;1,$L21&lt;&gt;"Yes")),"KNOWN RATING NEEDS FRESH E1",IF(AND($Q21=1,$H21="Met",OR($K21&lt;VALUE(RIGHT($G21,1)),$L21&lt;&gt;"Yes")),"EVIDENCE BELOW MINIMUM",IF(AND($Q21=1,OR($H21="",$H21="Unknown")),"UNASSESSED",IF(AND($H21="N/A",AND($P21&lt;&gt;"",$O21&lt;&gt;"",IFERROR(VLOOKUP($O21,'Exceptions'!$A$5:$M$204,2,FALSE),"")="N/A determination",IFERROR(VLOOKUP($O21,'Exceptions'!$A$5:$M$204,13,FALSE),"")="Active",IFERROR(ISNUMBER(SEARCH($A21,IFERROR(VLOOKUP($O21,'Exceptions'!$A$5:$M$204,3,FALSE),""))),FALSE))),"N/A APPROVED",IF($O21&lt;&gt;"","EXCEPTION REVIEW","OK")))))))</x:f>
        <x:v>UNASSESSED</x:v>
      </x:c>
    </x:row>
    <x:row r="22">
      <x:c r="A22" s="55" t="str">
        <x:v>SSC-03</x:v>
      </x:c>
      <x:c r="B22" s="55" t="str">
        <x:v>Security and software-supply-chain health</x:v>
      </x:c>
      <x:c r="C22" s="55" t="str"/>
      <x:c r="D22" s="55" t="str">
        <x:v>Baseline</x:v>
      </x:c>
      <x:c r="E22" s="55" t="str">
        <x:v>Baseline, Elevated, Critical; repositories with dependencies or produced software artifacts.</x:v>
      </x:c>
      <x:c r="F22" s="55" t="str">
        <x:v>Verified vulnerability and dependency-risk findings MUST have severity-based remediation targets and accountable owners, MUST be remediated or closed by evidenced equivalent control before the target expires, and MUST retain documented disposition. Accepted risk records a deviation but does not satisfy remediation.</x:v>
      </x:c>
      <x:c r="G22" s="55" t="str">
        <x:v>E3</x:v>
      </x:c>
      <x:c r="H22" s="51" t="str">
        <x:v>Unknown</x:v>
      </x:c>
      <x:c r="I22" s="55" t="n">
        <x:f>IF($A22="","",IF($H22="Met",1,IF($H22="Partially met",0.5,IF(OR($H22="Unmet",$H22="Unknown"),0,""))))</x:f>
        <x:v>0</x:v>
      </x:c>
      <x:c r="J22" s="51" t="str">
        <x:v>E0</x:v>
      </x:c>
      <x:c r="K22" s="55" t="n">
        <x:f>IF($A22="","",IF($J22="E4",4,IF($J22="E3",3,IF($J22="E2",2,IF($J22="E1",1,0)))))</x:f>
        <x:v>0</x:v>
      </x:c>
      <x:c r="L22" s="51" t="str">
        <x:v>Unknown</x:v>
      </x:c>
      <x:c r="M22" s="51" t="str"/>
      <x:c r="N22" s="51" t="str"/>
      <x:c r="O22" s="51" t="str"/>
      <x:c r="P22" s="51" t="str"/>
      <x:c r="Q22" s="55" t="n">
        <x:f>IF($A22="","",IF($D22="Baseline",1,IF($D22="Elevated",IF(OR('Profile'!$B$11="Elevated",'Profile'!$B$11="Critical"),1,0),IF($D22="Critical",IF('Profile'!$B$11="Critical",1,0),1))))</x:f>
        <x:v>1</x:v>
      </x:c>
      <x:c r="R22" s="55" t="n">
        <x:f>IF($A22="","",IF($Q22=0,0,IF($H22="N/A",0,IF($H22="Met",IF(AND($K22&gt;=VALUE(RIGHT($G22,1)),$L22="Yes"),1,0),IF($H22="Partially met",IF(AND($K22&gt;=1,$L22="Yes"),0.5,0),0)))))</x:f>
        <x:v>0</x:v>
      </x:c>
      <x:c r="S22" s="55" t="n">
        <x:f>IF($A22="","",IF($Q22=0,0,IF($H22="N/A",IF(AND($P22&lt;&gt;"",$O22&lt;&gt;"",IFERROR(VLOOKUP($O22,'Exceptions'!$A$5:$M$204,2,FALSE),"")="N/A determination",IFERROR(VLOOKUP($O22,'Exceptions'!$A$5:$M$204,13,FALSE),"")="Active",IFERROR(ISNUMBER(SEARCH($A22,IFERROR(VLOOKUP($O22,'Exceptions'!$A$5:$M$204,3,FALSE),""))),FALSE)),0,1),1)))</x:f>
        <x:v>1</x:v>
      </x:c>
      <x:c r="T22" s="55" t="str">
        <x:f>IF($A22="","",IF($C22="","",IF($H22="N/A",IF(AND($P22&lt;&gt;"",$O22&lt;&gt;"",IFERROR(VLOOKUP($O22,'Exceptions'!$A$5:$M$204,2,FALSE),"")="N/A determination",IFERROR(VLOOKUP($O22,'Exceptions'!$A$5:$M$204,13,FALSE),"")="Active",IFERROR(ISNUMBER(SEARCH($A22,IFERROR(VLOOKUP($O22,'Exceptions'!$A$5:$M$204,3,FALSE),""))),FALSE)),"N/A","FAIL"),IF(OR($H22="Unknown",$H22="",$K22=0,$L22&lt;&gt;"Yes"),"UNKNOWN",IF($H22="Met",IF($K22&gt;=VALUE(RIGHT($G22,1)),"PASS","UNKNOWN"),IF(OR($H22="Partially met",$H22="Unmet"),"FAIL","UNKNOWN"))))))</x:f>
      </x:c>
      <x:c r="U22" s="55" t="n">
        <x:f>IF($A22="","",IF($S22=0,0,IF(AND($K22&gt;=1,$L22="Yes"),1,0)))</x:f>
        <x:v>0</x:v>
      </x:c>
      <x:c r="V22" s="55" t="n">
        <x:f>IF($A22="","",IF(OR($S22=0,$H22="N/A",$L22&lt;&gt;"Yes"),0,$K22))</x:f>
        <x:v>0</x:v>
      </x:c>
      <x:c r="W22" s="55" t="str">
        <x:v>M-SSC-03 (overdue High/Critical finding rate).</x:v>
      </x:c>
      <x:c r="X22" s="55" t="str">
        <x:v>Pass at 0% overdue; Concern above 0% through 5% with no overdue Critical finding; Fail above 5% or any overdue Critical finding. Default targets are 7 days for Critical and 30 days for High unless stricter policy applies.</x:v>
      </x:c>
      <x:c r="Y22" s="55" t="str">
        <x:v>SRC-001, SRC-003, SRC-004, SRC-006 | https://csrc.nist.gov/pubs/sp/800/218/final</x:v>
      </x:c>
      <x:c r="Z22" s="55" t="str">
        <x:v>Scored only in SSC; no standalone grade cap in 0.1.0-draft.</x:v>
      </x:c>
      <x:c r="AA22" s="55" t="str">
        <x:v>Triage findings, prioritize exposed and exploitable paths, upgrade/remove/mitigate, assign owners and dates, and document time-bounded accepted risk.</x:v>
      </x:c>
      <x:c r="AB22" s="55" t="str">
        <x:f>IF($A22="","",IF(AND($Q22=1,$H22="N/A",NOT(AND($P22&lt;&gt;"",$O22&lt;&gt;"",IFERROR(VLOOKUP($O22,'Exceptions'!$A$5:$M$204,2,FALSE),"")="N/A determination",IFERROR(VLOOKUP($O22,'Exceptions'!$A$5:$M$204,13,FALSE),"")="Active",IFERROR(ISNUMBER(SEARCH($A22,IFERROR(VLOOKUP($O22,'Exceptions'!$A$5:$M$204,3,FALSE),""))),FALSE)))),"MISSING OR INVALID N/A DECISION",IF(AND($Q22=1,OR($H22="Partially met",$H22="Unmet"),OR($K22&lt;1,$L22&lt;&gt;"Yes")),"KNOWN RATING NEEDS FRESH E1",IF(AND($Q22=1,$H22="Met",OR($K22&lt;VALUE(RIGHT($G22,1)),$L22&lt;&gt;"Yes")),"EVIDENCE BELOW MINIMUM",IF(AND($Q22=1,OR($H22="",$H22="Unknown")),"UNASSESSED",IF(AND($H22="N/A",AND($P22&lt;&gt;"",$O22&lt;&gt;"",IFERROR(VLOOKUP($O22,'Exceptions'!$A$5:$M$204,2,FALSE),"")="N/A determination",IFERROR(VLOOKUP($O22,'Exceptions'!$A$5:$M$204,13,FALSE),"")="Active",IFERROR(ISNUMBER(SEARCH($A22,IFERROR(VLOOKUP($O22,'Exceptions'!$A$5:$M$204,3,FALSE),""))),FALSE))),"N/A APPROVED",IF($O22&lt;&gt;"","EXCEPTION REVIEW","OK")))))))</x:f>
        <x:v>UNASSESSED</x:v>
      </x:c>
    </x:row>
    <x:row r="23">
      <x:c r="A23" s="55" t="str">
        <x:v>SSC-04</x:v>
      </x:c>
      <x:c r="B23" s="55" t="str">
        <x:v>Security and software-supply-chain health</x:v>
      </x:c>
      <x:c r="C23" s="55" t="str"/>
      <x:c r="D23" s="55" t="str">
        <x:v>Baseline</x:v>
      </x:c>
      <x:c r="E23" s="55" t="str">
        <x:v>Baseline, Elevated, Critical; repositories with automation.</x:v>
      </x:c>
      <x:c r="F23" s="55" t="str">
        <x:v>CI/CD workflows MUST use least-privilege tokens, isolate untrusted code and metadata from privileged credentials, pin third-party executable dependencies to immutable identities, and protect production secrets.</x:v>
      </x:c>
      <x:c r="G23" s="55" t="str">
        <x:v>E3</x:v>
      </x:c>
      <x:c r="H23" s="51" t="str">
        <x:v>Unknown</x:v>
      </x:c>
      <x:c r="I23" s="55" t="n">
        <x:f>IF($A23="","",IF($H23="Met",1,IF($H23="Partially met",0.5,IF(OR($H23="Unmet",$H23="Unknown"),0,""))))</x:f>
        <x:v>0</x:v>
      </x:c>
      <x:c r="J23" s="51" t="str">
        <x:v>E0</x:v>
      </x:c>
      <x:c r="K23" s="55" t="n">
        <x:f>IF($A23="","",IF($J23="E4",4,IF($J23="E3",3,IF($J23="E2",2,IF($J23="E1",1,0)))))</x:f>
        <x:v>0</x:v>
      </x:c>
      <x:c r="L23" s="51" t="str">
        <x:v>Unknown</x:v>
      </x:c>
      <x:c r="M23" s="51" t="str"/>
      <x:c r="N23" s="51" t="str"/>
      <x:c r="O23" s="51" t="str"/>
      <x:c r="P23" s="51" t="str"/>
      <x:c r="Q23" s="55" t="n">
        <x:f>IF($A23="","",IF($D23="Baseline",1,IF($D23="Elevated",IF(OR('Profile'!$B$11="Elevated",'Profile'!$B$11="Critical"),1,0),IF($D23="Critical",IF('Profile'!$B$11="Critical",1,0),1))))</x:f>
        <x:v>1</x:v>
      </x:c>
      <x:c r="R23" s="55" t="n">
        <x:f>IF($A23="","",IF($Q23=0,0,IF($H23="N/A",0,IF($H23="Met",IF(AND($K23&gt;=VALUE(RIGHT($G23,1)),$L23="Yes"),1,0),IF($H23="Partially met",IF(AND($K23&gt;=1,$L23="Yes"),0.5,0),0)))))</x:f>
        <x:v>0</x:v>
      </x:c>
      <x:c r="S23" s="55" t="n">
        <x:f>IF($A23="","",IF($Q23=0,0,IF($H23="N/A",IF(AND($P23&lt;&gt;"",$O23&lt;&gt;"",IFERROR(VLOOKUP($O23,'Exceptions'!$A$5:$M$204,2,FALSE),"")="N/A determination",IFERROR(VLOOKUP($O23,'Exceptions'!$A$5:$M$204,13,FALSE),"")="Active",IFERROR(ISNUMBER(SEARCH($A23,IFERROR(VLOOKUP($O23,'Exceptions'!$A$5:$M$204,3,FALSE),""))),FALSE)),0,1),1)))</x:f>
        <x:v>1</x:v>
      </x:c>
      <x:c r="T23" s="55" t="str">
        <x:f>IF($A23="","",IF($C23="","",IF($H23="N/A",IF(AND($P23&lt;&gt;"",$O23&lt;&gt;"",IFERROR(VLOOKUP($O23,'Exceptions'!$A$5:$M$204,2,FALSE),"")="N/A determination",IFERROR(VLOOKUP($O23,'Exceptions'!$A$5:$M$204,13,FALSE),"")="Active",IFERROR(ISNUMBER(SEARCH($A23,IFERROR(VLOOKUP($O23,'Exceptions'!$A$5:$M$204,3,FALSE),""))),FALSE)),"N/A","FAIL"),IF(OR($H23="Unknown",$H23="",$K23=0,$L23&lt;&gt;"Yes"),"UNKNOWN",IF($H23="Met",IF($K23&gt;=VALUE(RIGHT($G23,1)),"PASS","UNKNOWN"),IF(OR($H23="Partially met",$H23="Unmet"),"FAIL","UNKNOWN"))))))</x:f>
      </x:c>
      <x:c r="U23" s="55" t="n">
        <x:f>IF($A23="","",IF($S23=0,0,IF(AND($K23&gt;=1,$L23="Yes"),1,0)))</x:f>
        <x:v>0</x:v>
      </x:c>
      <x:c r="V23" s="55" t="n">
        <x:f>IF($A23="","",IF(OR($S23=0,$H23="N/A",$L23&lt;&gt;"Yes"),0,$K23))</x:f>
        <x:v>0</x:v>
      </x:c>
      <x:c r="W23" s="55" t="str">
        <x:v>M-SSC-04 (secure-workflow assertion coverage).</x:v>
      </x:c>
      <x:c r="X23" s="55" t="str">
        <x:v>Pass at 100%; Concern from 90% to below 100% with no critical dangerous-workflow pattern; Fail below 90% or any path by which untrusted input can access privileged credentials or execute with write authority.</x:v>
      </x:c>
      <x:c r="Y23" s="55" t="str">
        <x:v>SRC-001, SRC-004, SRC-005, SRC-006, SRC-010, SRC-013 | https://baseline.openssf.org/versions/2026-02-19.html</x:v>
      </x:c>
      <x:c r="Z23" s="55" t="str">
        <x:v>Scored only in SSC; an exploit path that defeats G-03 or G-04 also causes the affected gate to Fail without adding a second SSC point.</x:v>
      </x:c>
      <x:c r="AA23" s="55" t="str">
        <x:v>Minimize permissions, separate trust domains, pin and verify executable dependencies, constrain secrets to protected environments, and remove dangerous trigger/input combinations.</x:v>
      </x:c>
      <x:c r="AB23" s="55" t="str">
        <x:f>IF($A23="","",IF(AND($Q23=1,$H23="N/A",NOT(AND($P23&lt;&gt;"",$O23&lt;&gt;"",IFERROR(VLOOKUP($O23,'Exceptions'!$A$5:$M$204,2,FALSE),"")="N/A determination",IFERROR(VLOOKUP($O23,'Exceptions'!$A$5:$M$204,13,FALSE),"")="Active",IFERROR(ISNUMBER(SEARCH($A23,IFERROR(VLOOKUP($O23,'Exceptions'!$A$5:$M$204,3,FALSE),""))),FALSE)))),"MISSING OR INVALID N/A DECISION",IF(AND($Q23=1,OR($H23="Partially met",$H23="Unmet"),OR($K23&lt;1,$L23&lt;&gt;"Yes")),"KNOWN RATING NEEDS FRESH E1",IF(AND($Q23=1,$H23="Met",OR($K23&lt;VALUE(RIGHT($G23,1)),$L23&lt;&gt;"Yes")),"EVIDENCE BELOW MINIMUM",IF(AND($Q23=1,OR($H23="",$H23="Unknown")),"UNASSESSED",IF(AND($H23="N/A",AND($P23&lt;&gt;"",$O23&lt;&gt;"",IFERROR(VLOOKUP($O23,'Exceptions'!$A$5:$M$204,2,FALSE),"")="N/A determination",IFERROR(VLOOKUP($O23,'Exceptions'!$A$5:$M$204,13,FALSE),"")="Active",IFERROR(ISNUMBER(SEARCH($A23,IFERROR(VLOOKUP($O23,'Exceptions'!$A$5:$M$204,3,FALSE),""))),FALSE))),"N/A APPROVED",IF($O23&lt;&gt;"","EXCEPTION REVIEW","OK")))))))</x:f>
        <x:v>UNASSESSED</x:v>
      </x:c>
    </x:row>
    <x:row r="24">
      <x:c r="A24" s="55" t="str">
        <x:v>OWM-01</x:v>
      </x:c>
      <x:c r="B24" s="55" t="str">
        <x:v>Ownership and maintainability</x:v>
      </x:c>
      <x:c r="C24" s="55" t="str"/>
      <x:c r="D24" s="55" t="str">
        <x:v>Baseline</x:v>
      </x:c>
      <x:c r="E24" s="55" t="str">
        <x:v>Baseline, Elevated, Critical; all active repositories.</x:v>
      </x:c>
      <x:c r="F24" s="55" t="str">
        <x:v>The repository MUST identify an active technical owner, business/service owner where applicable, support contact, lifecycle state, and risk tier.</x:v>
      </x:c>
      <x:c r="G24" s="55" t="str">
        <x:v>E2</x:v>
      </x:c>
      <x:c r="H24" s="51" t="str">
        <x:v>Unknown</x:v>
      </x:c>
      <x:c r="I24" s="55" t="n">
        <x:f>IF($A24="","",IF($H24="Met",1,IF($H24="Partially met",0.5,IF(OR($H24="Unmet",$H24="Unknown"),0,""))))</x:f>
        <x:v>0</x:v>
      </x:c>
      <x:c r="J24" s="51" t="str">
        <x:v>E0</x:v>
      </x:c>
      <x:c r="K24" s="55" t="n">
        <x:f>IF($A24="","",IF($J24="E4",4,IF($J24="E3",3,IF($J24="E2",2,IF($J24="E1",1,0)))))</x:f>
        <x:v>0</x:v>
      </x:c>
      <x:c r="L24" s="51" t="str">
        <x:v>Unknown</x:v>
      </x:c>
      <x:c r="M24" s="51" t="str"/>
      <x:c r="N24" s="51" t="str"/>
      <x:c r="O24" s="51" t="str"/>
      <x:c r="P24" s="51" t="str"/>
      <x:c r="Q24" s="55" t="n">
        <x:f>IF($A24="","",IF($D24="Baseline",1,IF($D24="Elevated",IF(OR('Profile'!$B$11="Elevated",'Profile'!$B$11="Critical"),1,0),IF($D24="Critical",IF('Profile'!$B$11="Critical",1,0),1))))</x:f>
        <x:v>1</x:v>
      </x:c>
      <x:c r="R24" s="55" t="n">
        <x:f>IF($A24="","",IF($Q24=0,0,IF($H24="N/A",0,IF($H24="Met",IF(AND($K24&gt;=VALUE(RIGHT($G24,1)),$L24="Yes"),1,0),IF($H24="Partially met",IF(AND($K24&gt;=1,$L24="Yes"),0.5,0),0)))))</x:f>
        <x:v>0</x:v>
      </x:c>
      <x:c r="S24" s="55" t="n">
        <x:f>IF($A24="","",IF($Q24=0,0,IF($H24="N/A",IF(AND($P24&lt;&gt;"",$O24&lt;&gt;"",IFERROR(VLOOKUP($O24,'Exceptions'!$A$5:$M$204,2,FALSE),"")="N/A determination",IFERROR(VLOOKUP($O24,'Exceptions'!$A$5:$M$204,13,FALSE),"")="Active",IFERROR(ISNUMBER(SEARCH($A24,IFERROR(VLOOKUP($O24,'Exceptions'!$A$5:$M$204,3,FALSE),""))),FALSE)),0,1),1)))</x:f>
        <x:v>1</x:v>
      </x:c>
      <x:c r="T24" s="55" t="str">
        <x:f>IF($A24="","",IF($C24="","",IF($H24="N/A",IF(AND($P24&lt;&gt;"",$O24&lt;&gt;"",IFERROR(VLOOKUP($O24,'Exceptions'!$A$5:$M$204,2,FALSE),"")="N/A determination",IFERROR(VLOOKUP($O24,'Exceptions'!$A$5:$M$204,13,FALSE),"")="Active",IFERROR(ISNUMBER(SEARCH($A24,IFERROR(VLOOKUP($O24,'Exceptions'!$A$5:$M$204,3,FALSE),""))),FALSE)),"N/A","FAIL"),IF(OR($H24="Unknown",$H24="",$K24=0,$L24&lt;&gt;"Yes"),"UNKNOWN",IF($H24="Met",IF($K24&gt;=VALUE(RIGHT($G24,1)),"PASS","UNKNOWN"),IF(OR($H24="Partially met",$H24="Unmet"),"FAIL","UNKNOWN"))))))</x:f>
      </x:c>
      <x:c r="U24" s="55" t="n">
        <x:f>IF($A24="","",IF($S24=0,0,IF(AND($K24&gt;=1,$L24="Yes"),1,0)))</x:f>
        <x:v>0</x:v>
      </x:c>
      <x:c r="V24" s="55" t="n">
        <x:f>IF($A24="","",IF(OR($S24=0,$H24="N/A",$L24&lt;&gt;"Yes"),0,$K24))</x:f>
        <x:v>0</x:v>
      </x:c>
      <x:c r="W24" s="55" t="str">
        <x:v>M-OWM-01 (ownership metadata completeness).</x:v>
      </x:c>
      <x:c r="X24" s="55" t="str">
        <x:v>Pass at 100%; Concern from 80% to below 100% if technical ownership remains valid; Fail below 80% or when no active technical owner resolves.</x:v>
      </x:c>
      <x:c r="Y24" s="55" t="str">
        <x:v>SRC-001, SRC-003, SRC-004, SRC-018 | https://csrc.nist.gov/pubs/sp/800/218/final</x:v>
      </x:c>
      <x:c r="Z24" s="55" t="str">
        <x:v>Scored only in OWM; no standalone grade cap.</x:v>
      </x:c>
      <x:c r="AA24" s="55" t="str">
        <x:v>Assign accountable teams, replace personal-only ownership, register support and lifecycle metadata, and confirm ownership.</x:v>
      </x:c>
      <x:c r="AB24" s="55" t="str">
        <x:f>IF($A24="","",IF(AND($Q24=1,$H24="N/A",NOT(AND($P24&lt;&gt;"",$O24&lt;&gt;"",IFERROR(VLOOKUP($O24,'Exceptions'!$A$5:$M$204,2,FALSE),"")="N/A determination",IFERROR(VLOOKUP($O24,'Exceptions'!$A$5:$M$204,13,FALSE),"")="Active",IFERROR(ISNUMBER(SEARCH($A24,IFERROR(VLOOKUP($O24,'Exceptions'!$A$5:$M$204,3,FALSE),""))),FALSE)))),"MISSING OR INVALID N/A DECISION",IF(AND($Q24=1,OR($H24="Partially met",$H24="Unmet"),OR($K24&lt;1,$L24&lt;&gt;"Yes")),"KNOWN RATING NEEDS FRESH E1",IF(AND($Q24=1,$H24="Met",OR($K24&lt;VALUE(RIGHT($G24,1)),$L24&lt;&gt;"Yes")),"EVIDENCE BELOW MINIMUM",IF(AND($Q24=1,OR($H24="",$H24="Unknown")),"UNASSESSED",IF(AND($H24="N/A",AND($P24&lt;&gt;"",$O24&lt;&gt;"",IFERROR(VLOOKUP($O24,'Exceptions'!$A$5:$M$204,2,FALSE),"")="N/A determination",IFERROR(VLOOKUP($O24,'Exceptions'!$A$5:$M$204,13,FALSE),"")="Active",IFERROR(ISNUMBER(SEARCH($A24,IFERROR(VLOOKUP($O24,'Exceptions'!$A$5:$M$204,3,FALSE),""))),FALSE))),"N/A APPROVED",IF($O24&lt;&gt;"","EXCEPTION REVIEW","OK")))))))</x:f>
        <x:v>UNASSESSED</x:v>
      </x:c>
    </x:row>
    <x:row r="25">
      <x:c r="A25" s="55" t="str">
        <x:v>OWM-02</x:v>
      </x:c>
      <x:c r="B25" s="55" t="str">
        <x:v>Ownership and maintainability</x:v>
      </x:c>
      <x:c r="C25" s="55" t="str"/>
      <x:c r="D25" s="55" t="str">
        <x:v>Baseline</x:v>
      </x:c>
      <x:c r="E25" s="55" t="str">
        <x:v>Baseline for designated critical paths; Elevated and Critical required.</x:v>
      </x:c>
      <x:c r="F25" s="55" t="str">
        <x:v>Security-sensitive, release, infrastructure, data-migration, and other declared critical paths MUST have named qualified owners; Elevated and Critical repositories SHOULD avoid a single-person ownership dependency.</x:v>
      </x:c>
      <x:c r="G25" s="55" t="str">
        <x:v>E2</x:v>
      </x:c>
      <x:c r="H25" s="51" t="str">
        <x:v>Unknown</x:v>
      </x:c>
      <x:c r="I25" s="55" t="n">
        <x:f>IF($A25="","",IF($H25="Met",1,IF($H25="Partially met",0.5,IF(OR($H25="Unmet",$H25="Unknown"),0,""))))</x:f>
        <x:v>0</x:v>
      </x:c>
      <x:c r="J25" s="51" t="str">
        <x:v>E0</x:v>
      </x:c>
      <x:c r="K25" s="55" t="n">
        <x:f>IF($A25="","",IF($J25="E4",4,IF($J25="E3",3,IF($J25="E2",2,IF($J25="E1",1,0)))))</x:f>
        <x:v>0</x:v>
      </x:c>
      <x:c r="L25" s="51" t="str">
        <x:v>Unknown</x:v>
      </x:c>
      <x:c r="M25" s="51" t="str"/>
      <x:c r="N25" s="51" t="str"/>
      <x:c r="O25" s="51" t="str"/>
      <x:c r="P25" s="51" t="str"/>
      <x:c r="Q25" s="55" t="n">
        <x:f>IF($A25="","",IF($D25="Baseline",1,IF($D25="Elevated",IF(OR('Profile'!$B$11="Elevated",'Profile'!$B$11="Critical"),1,0),IF($D25="Critical",IF('Profile'!$B$11="Critical",1,0),1))))</x:f>
        <x:v>1</x:v>
      </x:c>
      <x:c r="R25" s="55" t="n">
        <x:f>IF($A25="","",IF($Q25=0,0,IF($H25="N/A",0,IF($H25="Met",IF(AND($K25&gt;=VALUE(RIGHT($G25,1)),$L25="Yes"),1,0),IF($H25="Partially met",IF(AND($K25&gt;=1,$L25="Yes"),0.5,0),0)))))</x:f>
        <x:v>0</x:v>
      </x:c>
      <x:c r="S25" s="55" t="n">
        <x:f>IF($A25="","",IF($Q25=0,0,IF($H25="N/A",IF(AND($P25&lt;&gt;"",$O25&lt;&gt;"",IFERROR(VLOOKUP($O25,'Exceptions'!$A$5:$M$204,2,FALSE),"")="N/A determination",IFERROR(VLOOKUP($O25,'Exceptions'!$A$5:$M$204,13,FALSE),"")="Active",IFERROR(ISNUMBER(SEARCH($A25,IFERROR(VLOOKUP($O25,'Exceptions'!$A$5:$M$204,3,FALSE),""))),FALSE)),0,1),1)))</x:f>
        <x:v>1</x:v>
      </x:c>
      <x:c r="T25" s="55" t="str">
        <x:f>IF($A25="","",IF($C25="","",IF($H25="N/A",IF(AND($P25&lt;&gt;"",$O25&lt;&gt;"",IFERROR(VLOOKUP($O25,'Exceptions'!$A$5:$M$204,2,FALSE),"")="N/A determination",IFERROR(VLOOKUP($O25,'Exceptions'!$A$5:$M$204,13,FALSE),"")="Active",IFERROR(ISNUMBER(SEARCH($A25,IFERROR(VLOOKUP($O25,'Exceptions'!$A$5:$M$204,3,FALSE),""))),FALSE)),"N/A","FAIL"),IF(OR($H25="Unknown",$H25="",$K25=0,$L25&lt;&gt;"Yes"),"UNKNOWN",IF($H25="Met",IF($K25&gt;=VALUE(RIGHT($G25,1)),"PASS","UNKNOWN"),IF(OR($H25="Partially met",$H25="Unmet"),"FAIL","UNKNOWN"))))))</x:f>
      </x:c>
      <x:c r="U25" s="55" t="n">
        <x:f>IF($A25="","",IF($S25=0,0,IF(AND($K25&gt;=1,$L25="Yes"),1,0)))</x:f>
        <x:v>0</x:v>
      </x:c>
      <x:c r="V25" s="55" t="n">
        <x:f>IF($A25="","",IF(OR($S25=0,$H25="N/A",$L25&lt;&gt;"Yes"),0,$K25))</x:f>
        <x:v>0</x:v>
      </x:c>
      <x:c r="W25" s="55" t="str">
        <x:v>M-OWM-02 (critical-path ownership coverage).</x:v>
      </x:c>
      <x:c r="X25" s="55" t="str">
        <x:v>Pass at 100%; Concern from 90% to below 100%; Fail below 90% or any unowned production/security/release path.</x:v>
      </x:c>
      <x:c r="Y25" s="55" t="str">
        <x:v>SRC-001, SRC-003, SRC-010, SRC-013 | https://csrc.nist.gov/pubs/sp/800/218/final</x:v>
      </x:c>
      <x:c r="Z25" s="55" t="str">
        <x:v>Scored only in OWM; no standalone grade cap.</x:v>
      </x:c>
      <x:c r="AA25" s="55" t="str">
        <x:v>Identify critical paths, appoint qualified primary and backup owners, update review routing, and document continuity.</x:v>
      </x:c>
      <x:c r="AB25" s="55" t="str">
        <x:f>IF($A25="","",IF(AND($Q25=1,$H25="N/A",NOT(AND($P25&lt;&gt;"",$O25&lt;&gt;"",IFERROR(VLOOKUP($O25,'Exceptions'!$A$5:$M$204,2,FALSE),"")="N/A determination",IFERROR(VLOOKUP($O25,'Exceptions'!$A$5:$M$204,13,FALSE),"")="Active",IFERROR(ISNUMBER(SEARCH($A25,IFERROR(VLOOKUP($O25,'Exceptions'!$A$5:$M$204,3,FALSE),""))),FALSE)))),"MISSING OR INVALID N/A DECISION",IF(AND($Q25=1,OR($H25="Partially met",$H25="Unmet"),OR($K25&lt;1,$L25&lt;&gt;"Yes")),"KNOWN RATING NEEDS FRESH E1",IF(AND($Q25=1,$H25="Met",OR($K25&lt;VALUE(RIGHT($G25,1)),$L25&lt;&gt;"Yes")),"EVIDENCE BELOW MINIMUM",IF(AND($Q25=1,OR($H25="",$H25="Unknown")),"UNASSESSED",IF(AND($H25="N/A",AND($P25&lt;&gt;"",$O25&lt;&gt;"",IFERROR(VLOOKUP($O25,'Exceptions'!$A$5:$M$204,2,FALSE),"")="N/A determination",IFERROR(VLOOKUP($O25,'Exceptions'!$A$5:$M$204,13,FALSE),"")="Active",IFERROR(ISNUMBER(SEARCH($A25,IFERROR(VLOOKUP($O25,'Exceptions'!$A$5:$M$204,3,FALSE),""))),FALSE))),"N/A APPROVED",IF($O25&lt;&gt;"","EXCEPTION REVIEW","OK")))))))</x:f>
        <x:v>UNASSESSED</x:v>
      </x:c>
    </x:row>
    <x:row r="26">
      <x:c r="A26" s="55" t="str">
        <x:v>OWM-03</x:v>
      </x:c>
      <x:c r="B26" s="55" t="str">
        <x:v>Ownership and maintainability</x:v>
      </x:c>
      <x:c r="C26" s="55" t="str"/>
      <x:c r="D26" s="55" t="str">
        <x:v>Baseline</x:v>
      </x:c>
      <x:c r="E26" s="55" t="str">
        <x:v>Baseline, Elevated, Critical; all active repositories.</x:v>
      </x:c>
      <x:c r="F26" s="55" t="str">
        <x:v>Supported runtimes, build images, package managers, generators, and material technical-debt or maintenance obligations MUST have owners and review or due dates, and overdue obligations MUST be visible.</x:v>
      </x:c>
      <x:c r="G26" s="55" t="str">
        <x:v>E2</x:v>
      </x:c>
      <x:c r="H26" s="51" t="str">
        <x:v>Unknown</x:v>
      </x:c>
      <x:c r="I26" s="55" t="n">
        <x:f>IF($A26="","",IF($H26="Met",1,IF($H26="Partially met",0.5,IF(OR($H26="Unmet",$H26="Unknown"),0,""))))</x:f>
        <x:v>0</x:v>
      </x:c>
      <x:c r="J26" s="51" t="str">
        <x:v>E0</x:v>
      </x:c>
      <x:c r="K26" s="55" t="n">
        <x:f>IF($A26="","",IF($J26="E4",4,IF($J26="E3",3,IF($J26="E2",2,IF($J26="E1",1,0)))))</x:f>
        <x:v>0</x:v>
      </x:c>
      <x:c r="L26" s="51" t="str">
        <x:v>Unknown</x:v>
      </x:c>
      <x:c r="M26" s="51" t="str"/>
      <x:c r="N26" s="51" t="str"/>
      <x:c r="O26" s="51" t="str"/>
      <x:c r="P26" s="51" t="str"/>
      <x:c r="Q26" s="55" t="n">
        <x:f>IF($A26="","",IF($D26="Baseline",1,IF($D26="Elevated",IF(OR('Profile'!$B$11="Elevated",'Profile'!$B$11="Critical"),1,0),IF($D26="Critical",IF('Profile'!$B$11="Critical",1,0),1))))</x:f>
        <x:v>1</x:v>
      </x:c>
      <x:c r="R26" s="55" t="n">
        <x:f>IF($A26="","",IF($Q26=0,0,IF($H26="N/A",0,IF($H26="Met",IF(AND($K26&gt;=VALUE(RIGHT($G26,1)),$L26="Yes"),1,0),IF($H26="Partially met",IF(AND($K26&gt;=1,$L26="Yes"),0.5,0),0)))))</x:f>
        <x:v>0</x:v>
      </x:c>
      <x:c r="S26" s="55" t="n">
        <x:f>IF($A26="","",IF($Q26=0,0,IF($H26="N/A",IF(AND($P26&lt;&gt;"",$O26&lt;&gt;"",IFERROR(VLOOKUP($O26,'Exceptions'!$A$5:$M$204,2,FALSE),"")="N/A determination",IFERROR(VLOOKUP($O26,'Exceptions'!$A$5:$M$204,13,FALSE),"")="Active",IFERROR(ISNUMBER(SEARCH($A26,IFERROR(VLOOKUP($O26,'Exceptions'!$A$5:$M$204,3,FALSE),""))),FALSE)),0,1),1)))</x:f>
        <x:v>1</x:v>
      </x:c>
      <x:c r="T26" s="55" t="str">
        <x:f>IF($A26="","",IF($C26="","",IF($H26="N/A",IF(AND($P26&lt;&gt;"",$O26&lt;&gt;"",IFERROR(VLOOKUP($O26,'Exceptions'!$A$5:$M$204,2,FALSE),"")="N/A determination",IFERROR(VLOOKUP($O26,'Exceptions'!$A$5:$M$204,13,FALSE),"")="Active",IFERROR(ISNUMBER(SEARCH($A26,IFERROR(VLOOKUP($O26,'Exceptions'!$A$5:$M$204,3,FALSE),""))),FALSE)),"N/A","FAIL"),IF(OR($H26="Unknown",$H26="",$K26=0,$L26&lt;&gt;"Yes"),"UNKNOWN",IF($H26="Met",IF($K26&gt;=VALUE(RIGHT($G26,1)),"PASS","UNKNOWN"),IF(OR($H26="Partially met",$H26="Unmet"),"FAIL","UNKNOWN"))))))</x:f>
      </x:c>
      <x:c r="U26" s="55" t="n">
        <x:f>IF($A26="","",IF($S26=0,0,IF(AND($K26&gt;=1,$L26="Yes"),1,0)))</x:f>
        <x:v>0</x:v>
      </x:c>
      <x:c r="V26" s="55" t="n">
        <x:f>IF($A26="","",IF(OR($S26=0,$H26="N/A",$L26&lt;&gt;"Yes"),0,$K26))</x:f>
        <x:v>0</x:v>
      </x:c>
      <x:c r="W26" s="55" t="str">
        <x:v>M-OWM-03 (maintenance-obligation freshness).</x:v>
      </x:c>
      <x:c r="X26" s="55" t="str">
        <x:v>Pass at 100% current; Concern from 90% to below 100%; Fail below 90% or any unsupported Critical-tier build/runtime component. An exception records accepted risk but does not change the result.</x:v>
      </x:c>
      <x:c r="Y26" s="55" t="str">
        <x:v>SRC-001, SRC-006, SRC-008 | https://github.com/ossf/scorecard/releases/tag/v5.5.0</x:v>
      </x:c>
      <x:c r="Z26" s="55" t="str">
        <x:v>Scored only in OWM; no standalone grade cap.</x:v>
      </x:c>
      <x:c r="AA26" s="55" t="str">
        <x:v>Inventory toolchain and debt obligations, assign owners/dates, retire unsupported components, and schedule periodic clean validation.</x:v>
      </x:c>
      <x:c r="AB26" s="55" t="str">
        <x:f>IF($A26="","",IF(AND($Q26=1,$H26="N/A",NOT(AND($P26&lt;&gt;"",$O26&lt;&gt;"",IFERROR(VLOOKUP($O26,'Exceptions'!$A$5:$M$204,2,FALSE),"")="N/A determination",IFERROR(VLOOKUP($O26,'Exceptions'!$A$5:$M$204,13,FALSE),"")="Active",IFERROR(ISNUMBER(SEARCH($A26,IFERROR(VLOOKUP($O26,'Exceptions'!$A$5:$M$204,3,FALSE),""))),FALSE)))),"MISSING OR INVALID N/A DECISION",IF(AND($Q26=1,OR($H26="Partially met",$H26="Unmet"),OR($K26&lt;1,$L26&lt;&gt;"Yes")),"KNOWN RATING NEEDS FRESH E1",IF(AND($Q26=1,$H26="Met",OR($K26&lt;VALUE(RIGHT($G26,1)),$L26&lt;&gt;"Yes")),"EVIDENCE BELOW MINIMUM",IF(AND($Q26=1,OR($H26="",$H26="Unknown")),"UNASSESSED",IF(AND($H26="N/A",AND($P26&lt;&gt;"",$O26&lt;&gt;"",IFERROR(VLOOKUP($O26,'Exceptions'!$A$5:$M$204,2,FALSE),"")="N/A determination",IFERROR(VLOOKUP($O26,'Exceptions'!$A$5:$M$204,13,FALSE),"")="Active",IFERROR(ISNUMBER(SEARCH($A26,IFERROR(VLOOKUP($O26,'Exceptions'!$A$5:$M$204,3,FALSE),""))),FALSE))),"N/A APPROVED",IF($O26&lt;&gt;"","EXCEPTION REVIEW","OK")))))))</x:f>
        <x:v>UNASSESSED</x:v>
      </x:c>
    </x:row>
    <x:row r="27">
      <x:c r="A27" s="55" t="str">
        <x:v>OWM-04</x:v>
      </x:c>
      <x:c r="B27" s="55" t="str">
        <x:v>Ownership and maintainability</x:v>
      </x:c>
      <x:c r="C27" s="55" t="str"/>
      <x:c r="D27" s="55" t="str">
        <x:v>Baseline</x:v>
      </x:c>
      <x:c r="E27" s="55" t="str">
        <x:v>Baseline, Elevated, Critical; all repositories.</x:v>
      </x:c>
      <x:c r="F27" s="55" t="str">
        <x:v>The repository MUST NOT store generated executable or unreviewable binary artifacts as authoritative source unless a documented necessity, provenance, integrity check, regeneration or update process, and owner are present.</x:v>
      </x:c>
      <x:c r="G27" s="55" t="str">
        <x:v>E3</x:v>
      </x:c>
      <x:c r="H27" s="51" t="str">
        <x:v>Unknown</x:v>
      </x:c>
      <x:c r="I27" s="55" t="n">
        <x:f>IF($A27="","",IF($H27="Met",1,IF($H27="Partially met",0.5,IF(OR($H27="Unmet",$H27="Unknown"),0,""))))</x:f>
        <x:v>0</x:v>
      </x:c>
      <x:c r="J27" s="51" t="str">
        <x:v>E0</x:v>
      </x:c>
      <x:c r="K27" s="55" t="n">
        <x:f>IF($A27="","",IF($J27="E4",4,IF($J27="E3",3,IF($J27="E2",2,IF($J27="E1",1,0)))))</x:f>
        <x:v>0</x:v>
      </x:c>
      <x:c r="L27" s="51" t="str">
        <x:v>Unknown</x:v>
      </x:c>
      <x:c r="M27" s="51" t="str"/>
      <x:c r="N27" s="51" t="str"/>
      <x:c r="O27" s="51" t="str"/>
      <x:c r="P27" s="51" t="str"/>
      <x:c r="Q27" s="55" t="n">
        <x:f>IF($A27="","",IF($D27="Baseline",1,IF($D27="Elevated",IF(OR('Profile'!$B$11="Elevated",'Profile'!$B$11="Critical"),1,0),IF($D27="Critical",IF('Profile'!$B$11="Critical",1,0),1))))</x:f>
        <x:v>1</x:v>
      </x:c>
      <x:c r="R27" s="55" t="n">
        <x:f>IF($A27="","",IF($Q27=0,0,IF($H27="N/A",0,IF($H27="Met",IF(AND($K27&gt;=VALUE(RIGHT($G27,1)),$L27="Yes"),1,0),IF($H27="Partially met",IF(AND($K27&gt;=1,$L27="Yes"),0.5,0),0)))))</x:f>
        <x:v>0</x:v>
      </x:c>
      <x:c r="S27" s="55" t="n">
        <x:f>IF($A27="","",IF($Q27=0,0,IF($H27="N/A",IF(AND($P27&lt;&gt;"",$O27&lt;&gt;"",IFERROR(VLOOKUP($O27,'Exceptions'!$A$5:$M$204,2,FALSE),"")="N/A determination",IFERROR(VLOOKUP($O27,'Exceptions'!$A$5:$M$204,13,FALSE),"")="Active",IFERROR(ISNUMBER(SEARCH($A27,IFERROR(VLOOKUP($O27,'Exceptions'!$A$5:$M$204,3,FALSE),""))),FALSE)),0,1),1)))</x:f>
        <x:v>1</x:v>
      </x:c>
      <x:c r="T27" s="55" t="str">
        <x:f>IF($A27="","",IF($C27="","",IF($H27="N/A",IF(AND($P27&lt;&gt;"",$O27&lt;&gt;"",IFERROR(VLOOKUP($O27,'Exceptions'!$A$5:$M$204,2,FALSE),"")="N/A determination",IFERROR(VLOOKUP($O27,'Exceptions'!$A$5:$M$204,13,FALSE),"")="Active",IFERROR(ISNUMBER(SEARCH($A27,IFERROR(VLOOKUP($O27,'Exceptions'!$A$5:$M$204,3,FALSE),""))),FALSE)),"N/A","FAIL"),IF(OR($H27="Unknown",$H27="",$K27=0,$L27&lt;&gt;"Yes"),"UNKNOWN",IF($H27="Met",IF($K27&gt;=VALUE(RIGHT($G27,1)),"PASS","UNKNOWN"),IF(OR($H27="Partially met",$H27="Unmet"),"FAIL","UNKNOWN"))))))</x:f>
      </x:c>
      <x:c r="U27" s="55" t="n">
        <x:f>IF($A27="","",IF($S27=0,0,IF(AND($K27&gt;=1,$L27="Yes"),1,0)))</x:f>
        <x:v>0</x:v>
      </x:c>
      <x:c r="V27" s="55" t="n">
        <x:f>IF($A27="","",IF(OR($S27=0,$H27="N/A",$L27&lt;&gt;"Yes"),0,$K27))</x:f>
        <x:v>0</x:v>
      </x:c>
      <x:c r="W27" s="55" t="str">
        <x:v>M-OWM-04 (reviewable-artifact compliance).</x:v>
      </x:c>
      <x:c r="X27" s="55" t="str">
        <x:v>Pass at 100%; Concern from 95% to below 100% with no unexplained executable; Fail below 95% or any unexplained generated executable or privileged binary.</x:v>
      </x:c>
      <x:c r="Y27" s="55" t="str">
        <x:v>SRC-001, SRC-004, SRC-006 | https://baseline.openssf.org/versions/2026-02-19.html</x:v>
      </x:c>
      <x:c r="Z27" s="55" t="str">
        <x:v>Scored only in OWM; the result may inform an SSC finding without duplicate points and has no standalone grade cap.</x:v>
      </x:c>
      <x:c r="AA27" s="55" t="str">
        <x:v>Move build outputs to a registry, document and verify necessary binaries, add deterministic regeneration, or remove stale artifacts.</x:v>
      </x:c>
      <x:c r="AB27" s="55" t="str">
        <x:f>IF($A27="","",IF(AND($Q27=1,$H27="N/A",NOT(AND($P27&lt;&gt;"",$O27&lt;&gt;"",IFERROR(VLOOKUP($O27,'Exceptions'!$A$5:$M$204,2,FALSE),"")="N/A determination",IFERROR(VLOOKUP($O27,'Exceptions'!$A$5:$M$204,13,FALSE),"")="Active",IFERROR(ISNUMBER(SEARCH($A27,IFERROR(VLOOKUP($O27,'Exceptions'!$A$5:$M$204,3,FALSE),""))),FALSE)))),"MISSING OR INVALID N/A DECISION",IF(AND($Q27=1,OR($H27="Partially met",$H27="Unmet"),OR($K27&lt;1,$L27&lt;&gt;"Yes")),"KNOWN RATING NEEDS FRESH E1",IF(AND($Q27=1,$H27="Met",OR($K27&lt;VALUE(RIGHT($G27,1)),$L27&lt;&gt;"Yes")),"EVIDENCE BELOW MINIMUM",IF(AND($Q27=1,OR($H27="",$H27="Unknown")),"UNASSESSED",IF(AND($H27="N/A",AND($P27&lt;&gt;"",$O27&lt;&gt;"",IFERROR(VLOOKUP($O27,'Exceptions'!$A$5:$M$204,2,FALSE),"")="N/A determination",IFERROR(VLOOKUP($O27,'Exceptions'!$A$5:$M$204,13,FALSE),"")="Active",IFERROR(ISNUMBER(SEARCH($A27,IFERROR(VLOOKUP($O27,'Exceptions'!$A$5:$M$204,3,FALSE),""))),FALSE))),"N/A APPROVED",IF($O27&lt;&gt;"","EXCEPTION REVIEW","OK")))))))</x:f>
        <x:v>UNASSESSED</x:v>
      </x:c>
    </x:row>
    <x:row r="28">
      <x:c r="A28" s="55" t="str">
        <x:v>DCR-01</x:v>
      </x:c>
      <x:c r="B28" s="55" t="str">
        <x:v>Documentation and contributor readiness</x:v>
      </x:c>
      <x:c r="C28" s="55" t="str"/>
      <x:c r="D28" s="55" t="str">
        <x:v>Baseline</x:v>
      </x:c>
      <x:c r="E28" s="55" t="str">
        <x:v>Baseline, Elevated, Critical; all active repositories.</x:v>
      </x:c>
      <x:c r="F28" s="55" t="str">
        <x:v>The repository MUST provide findable, current documentation of purpose, lifecycle/status, intended consumers, prerequisites, basic use, and the authoritative build or validation command.</x:v>
      </x:c>
      <x:c r="G28" s="55" t="str">
        <x:v>E2</x:v>
      </x:c>
      <x:c r="H28" s="51" t="str">
        <x:v>Unknown</x:v>
      </x:c>
      <x:c r="I28" s="55" t="n">
        <x:f>IF($A28="","",IF($H28="Met",1,IF($H28="Partially met",0.5,IF(OR($H28="Unmet",$H28="Unknown"),0,""))))</x:f>
        <x:v>0</x:v>
      </x:c>
      <x:c r="J28" s="51" t="str">
        <x:v>E0</x:v>
      </x:c>
      <x:c r="K28" s="55" t="n">
        <x:f>IF($A28="","",IF($J28="E4",4,IF($J28="E3",3,IF($J28="E2",2,IF($J28="E1",1,0)))))</x:f>
        <x:v>0</x:v>
      </x:c>
      <x:c r="L28" s="51" t="str">
        <x:v>Unknown</x:v>
      </x:c>
      <x:c r="M28" s="51" t="str"/>
      <x:c r="N28" s="51" t="str"/>
      <x:c r="O28" s="51" t="str"/>
      <x:c r="P28" s="51" t="str"/>
      <x:c r="Q28" s="55" t="n">
        <x:f>IF($A28="","",IF($D28="Baseline",1,IF($D28="Elevated",IF(OR('Profile'!$B$11="Elevated",'Profile'!$B$11="Critical"),1,0),IF($D28="Critical",IF('Profile'!$B$11="Critical",1,0),1))))</x:f>
        <x:v>1</x:v>
      </x:c>
      <x:c r="R28" s="55" t="n">
        <x:f>IF($A28="","",IF($Q28=0,0,IF($H28="N/A",0,IF($H28="Met",IF(AND($K28&gt;=VALUE(RIGHT($G28,1)),$L28="Yes"),1,0),IF($H28="Partially met",IF(AND($K28&gt;=1,$L28="Yes"),0.5,0),0)))))</x:f>
        <x:v>0</x:v>
      </x:c>
      <x:c r="S28" s="55" t="n">
        <x:f>IF($A28="","",IF($Q28=0,0,IF($H28="N/A",IF(AND($P28&lt;&gt;"",$O28&lt;&gt;"",IFERROR(VLOOKUP($O28,'Exceptions'!$A$5:$M$204,2,FALSE),"")="N/A determination",IFERROR(VLOOKUP($O28,'Exceptions'!$A$5:$M$204,13,FALSE),"")="Active",IFERROR(ISNUMBER(SEARCH($A28,IFERROR(VLOOKUP($O28,'Exceptions'!$A$5:$M$204,3,FALSE),""))),FALSE)),0,1),1)))</x:f>
        <x:v>1</x:v>
      </x:c>
      <x:c r="T28" s="55" t="str">
        <x:f>IF($A28="","",IF($C28="","",IF($H28="N/A",IF(AND($P28&lt;&gt;"",$O28&lt;&gt;"",IFERROR(VLOOKUP($O28,'Exceptions'!$A$5:$M$204,2,FALSE),"")="N/A determination",IFERROR(VLOOKUP($O28,'Exceptions'!$A$5:$M$204,13,FALSE),"")="Active",IFERROR(ISNUMBER(SEARCH($A28,IFERROR(VLOOKUP($O28,'Exceptions'!$A$5:$M$204,3,FALSE),""))),FALSE)),"N/A","FAIL"),IF(OR($H28="Unknown",$H28="",$K28=0,$L28&lt;&gt;"Yes"),"UNKNOWN",IF($H28="Met",IF($K28&gt;=VALUE(RIGHT($G28,1)),"PASS","UNKNOWN"),IF(OR($H28="Partially met",$H28="Unmet"),"FAIL","UNKNOWN"))))))</x:f>
      </x:c>
      <x:c r="U28" s="55" t="n">
        <x:f>IF($A28="","",IF($S28=0,0,IF(AND($K28&gt;=1,$L28="Yes"),1,0)))</x:f>
        <x:v>0</x:v>
      </x:c>
      <x:c r="V28" s="55" t="n">
        <x:f>IF($A28="","",IF(OR($S28=0,$H28="N/A",$L28&lt;&gt;"Yes"),0,$K28))</x:f>
        <x:v>0</x:v>
      </x:c>
      <x:c r="W28" s="55" t="str">
        <x:v>M-DCR-01 (essential orientation coverage).</x:v>
      </x:c>
      <x:c r="X28" s="55" t="str">
        <x:v>Pass at 100%; Concern from 80% to below 100%; Fail below 80% or when purpose or validation instructions are absent.</x:v>
      </x:c>
      <x:c r="Y28" s="55" t="str">
        <x:v>SRC-001, SRC-004, SRC-008, SRC-018 | https://baseline.openssf.org/versions/2026-02-19.html</x:v>
      </x:c>
      <x:c r="Z28" s="55" t="str">
        <x:v>Scored only in DCR; no standalone grade cap.</x:v>
      </x:c>
      <x:c r="AA28" s="55" t="str">
        <x:v>Add or refresh orientation topics, replace dead links, and verify commands from a clean checkout.</x:v>
      </x:c>
      <x:c r="AB28" s="55" t="str">
        <x:f>IF($A28="","",IF(AND($Q28=1,$H28="N/A",NOT(AND($P28&lt;&gt;"",$O28&lt;&gt;"",IFERROR(VLOOKUP($O28,'Exceptions'!$A$5:$M$204,2,FALSE),"")="N/A determination",IFERROR(VLOOKUP($O28,'Exceptions'!$A$5:$M$204,13,FALSE),"")="Active",IFERROR(ISNUMBER(SEARCH($A28,IFERROR(VLOOKUP($O28,'Exceptions'!$A$5:$M$204,3,FALSE),""))),FALSE)))),"MISSING OR INVALID N/A DECISION",IF(AND($Q28=1,OR($H28="Partially met",$H28="Unmet"),OR($K28&lt;1,$L28&lt;&gt;"Yes")),"KNOWN RATING NEEDS FRESH E1",IF(AND($Q28=1,$H28="Met",OR($K28&lt;VALUE(RIGHT($G28,1)),$L28&lt;&gt;"Yes")),"EVIDENCE BELOW MINIMUM",IF(AND($Q28=1,OR($H28="",$H28="Unknown")),"UNASSESSED",IF(AND($H28="N/A",AND($P28&lt;&gt;"",$O28&lt;&gt;"",IFERROR(VLOOKUP($O28,'Exceptions'!$A$5:$M$204,2,FALSE),"")="N/A determination",IFERROR(VLOOKUP($O28,'Exceptions'!$A$5:$M$204,13,FALSE),"")="Active",IFERROR(ISNUMBER(SEARCH($A28,IFERROR(VLOOKUP($O28,'Exceptions'!$A$5:$M$204,3,FALSE),""))),FALSE))),"N/A APPROVED",IF($O28&lt;&gt;"","EXCEPTION REVIEW","OK")))))))</x:f>
        <x:v>UNASSESSED</x:v>
      </x:c>
    </x:row>
    <x:row r="29">
      <x:c r="A29" s="55" t="str">
        <x:v>DCR-02</x:v>
      </x:c>
      <x:c r="B29" s="55" t="str">
        <x:v>Documentation and contributor readiness</x:v>
      </x:c>
      <x:c r="C29" s="55" t="str"/>
      <x:c r="D29" s="55" t="str">
        <x:v>Baseline</x:v>
      </x:c>
      <x:c r="E29" s="55" t="str">
        <x:v>Baseline, Elevated, Critical; active multi-contributor repositories. Single-maintainer Baseline repositories must at least document their accepted change path.</x:v>
      </x:c>
      <x:c r="F29" s="55" t="str">
        <x:v>The repository MUST document how to propose, validate, review, integrate, release, backport or fix, and exceptionally bypass a change under its declared methodology.</x:v>
      </x:c>
      <x:c r="G29" s="55" t="str">
        <x:v>E2</x:v>
      </x:c>
      <x:c r="H29" s="51" t="str">
        <x:v>Unknown</x:v>
      </x:c>
      <x:c r="I29" s="55" t="n">
        <x:f>IF($A29="","",IF($H29="Met",1,IF($H29="Partially met",0.5,IF(OR($H29="Unmet",$H29="Unknown"),0,""))))</x:f>
        <x:v>0</x:v>
      </x:c>
      <x:c r="J29" s="51" t="str">
        <x:v>E0</x:v>
      </x:c>
      <x:c r="K29" s="55" t="n">
        <x:f>IF($A29="","",IF($J29="E4",4,IF($J29="E3",3,IF($J29="E2",2,IF($J29="E1",1,0)))))</x:f>
        <x:v>0</x:v>
      </x:c>
      <x:c r="L29" s="51" t="str">
        <x:v>Unknown</x:v>
      </x:c>
      <x:c r="M29" s="51" t="str"/>
      <x:c r="N29" s="51" t="str"/>
      <x:c r="O29" s="51" t="str"/>
      <x:c r="P29" s="51" t="str"/>
      <x:c r="Q29" s="55" t="n">
        <x:f>IF($A29="","",IF($D29="Baseline",1,IF($D29="Elevated",IF(OR('Profile'!$B$11="Elevated",'Profile'!$B$11="Critical"),1,0),IF($D29="Critical",IF('Profile'!$B$11="Critical",1,0),1))))</x:f>
        <x:v>1</x:v>
      </x:c>
      <x:c r="R29" s="55" t="n">
        <x:f>IF($A29="","",IF($Q29=0,0,IF($H29="N/A",0,IF($H29="Met",IF(AND($K29&gt;=VALUE(RIGHT($G29,1)),$L29="Yes"),1,0),IF($H29="Partially met",IF(AND($K29&gt;=1,$L29="Yes"),0.5,0),0)))))</x:f>
        <x:v>0</x:v>
      </x:c>
      <x:c r="S29" s="55" t="n">
        <x:f>IF($A29="","",IF($Q29=0,0,IF($H29="N/A",IF(AND($P29&lt;&gt;"",$O29&lt;&gt;"",IFERROR(VLOOKUP($O29,'Exceptions'!$A$5:$M$204,2,FALSE),"")="N/A determination",IFERROR(VLOOKUP($O29,'Exceptions'!$A$5:$M$204,13,FALSE),"")="Active",IFERROR(ISNUMBER(SEARCH($A29,IFERROR(VLOOKUP($O29,'Exceptions'!$A$5:$M$204,3,FALSE),""))),FALSE)),0,1),1)))</x:f>
        <x:v>1</x:v>
      </x:c>
      <x:c r="T29" s="55" t="str">
        <x:f>IF($A29="","",IF($C29="","",IF($H29="N/A",IF(AND($P29&lt;&gt;"",$O29&lt;&gt;"",IFERROR(VLOOKUP($O29,'Exceptions'!$A$5:$M$204,2,FALSE),"")="N/A determination",IFERROR(VLOOKUP($O29,'Exceptions'!$A$5:$M$204,13,FALSE),"")="Active",IFERROR(ISNUMBER(SEARCH($A29,IFERROR(VLOOKUP($O29,'Exceptions'!$A$5:$M$204,3,FALSE),""))),FALSE)),"N/A","FAIL"),IF(OR($H29="Unknown",$H29="",$K29=0,$L29&lt;&gt;"Yes"),"UNKNOWN",IF($H29="Met",IF($K29&gt;=VALUE(RIGHT($G29,1)),"PASS","UNKNOWN"),IF(OR($H29="Partially met",$H29="Unmet"),"FAIL","UNKNOWN"))))))</x:f>
      </x:c>
      <x:c r="U29" s="55" t="n">
        <x:f>IF($A29="","",IF($S29=0,0,IF(AND($K29&gt;=1,$L29="Yes"),1,0)))</x:f>
        <x:v>0</x:v>
      </x:c>
      <x:c r="V29" s="55" t="n">
        <x:f>IF($A29="","",IF(OR($S29=0,$H29="N/A",$L29&lt;&gt;"Yes"),0,$K29))</x:f>
        <x:v>0</x:v>
      </x:c>
      <x:c r="W29" s="55" t="str">
        <x:v>M-DCR-02 (contribution/workflow documentation coverage).</x:v>
      </x:c>
      <x:c r="X29" s="55" t="str">
        <x:v>Pass at 100%; Concern from 80% to below 100%; Fail below 80% or when the documented acceptance path contradicts enforced behavior.</x:v>
      </x:c>
      <x:c r="Y29" s="55" t="str">
        <x:v>SRC-001, SRC-004, SRC-012, SRC-014, SRC-015, SRC-016, SRC-017, SRC-018, SRC-021 | https://baseline.openssf.org/versions/2026-02-19.html</x:v>
      </x:c>
      <x:c r="Z29" s="55" t="str">
        <x:v>Scored only in DCR; a material contradiction may inform CGD-05, which is evaluated under its own control without duplicating this control's points.</x:v>
      </x:c>
      <x:c r="AA29" s="55" t="str">
        <x:v>Document the observed workflow, resolve contradictions, include required checks and emergency paths, and link the guide prominently.</x:v>
      </x:c>
      <x:c r="AB29" s="55" t="str">
        <x:f>IF($A29="","",IF(AND($Q29=1,$H29="N/A",NOT(AND($P29&lt;&gt;"",$O29&lt;&gt;"",IFERROR(VLOOKUP($O29,'Exceptions'!$A$5:$M$204,2,FALSE),"")="N/A determination",IFERROR(VLOOKUP($O29,'Exceptions'!$A$5:$M$204,13,FALSE),"")="Active",IFERROR(ISNUMBER(SEARCH($A29,IFERROR(VLOOKUP($O29,'Exceptions'!$A$5:$M$204,3,FALSE),""))),FALSE)))),"MISSING OR INVALID N/A DECISION",IF(AND($Q29=1,OR($H29="Partially met",$H29="Unmet"),OR($K29&lt;1,$L29&lt;&gt;"Yes")),"KNOWN RATING NEEDS FRESH E1",IF(AND($Q29=1,$H29="Met",OR($K29&lt;VALUE(RIGHT($G29,1)),$L29&lt;&gt;"Yes")),"EVIDENCE BELOW MINIMUM",IF(AND($Q29=1,OR($H29="",$H29="Unknown")),"UNASSESSED",IF(AND($H29="N/A",AND($P29&lt;&gt;"",$O29&lt;&gt;"",IFERROR(VLOOKUP($O29,'Exceptions'!$A$5:$M$204,2,FALSE),"")="N/A determination",IFERROR(VLOOKUP($O29,'Exceptions'!$A$5:$M$204,13,FALSE),"")="Active",IFERROR(ISNUMBER(SEARCH($A29,IFERROR(VLOOKUP($O29,'Exceptions'!$A$5:$M$204,3,FALSE),""))),FALSE))),"N/A APPROVED",IF($O29&lt;&gt;"","EXCEPTION REVIEW","OK")))))))</x:f>
        <x:v>UNASSESSED</x:v>
      </x:c>
    </x:row>
    <x:row r="30">
      <x:c r="A30" s="55" t="str">
        <x:v>DCR-03</x:v>
      </x:c>
      <x:c r="B30" s="55" t="str">
        <x:v>Documentation and contributor readiness</x:v>
      </x:c>
      <x:c r="C30" s="55" t="str"/>
      <x:c r="D30" s="55" t="str">
        <x:v>Baseline</x:v>
      </x:c>
      <x:c r="E30" s="55" t="str">
        <x:v>Baseline, Elevated, Critical; all supported repositories. Public repositories require a public security-reporting route; private repositories may use an internal route.</x:v>
      </x:c>
      <x:c r="F30" s="55" t="str">
        <x:v>The repository MUST publish resolvable support and private security-reporting routes, expected response behavior, and supported-version or service boundaries.</x:v>
      </x:c>
      <x:c r="G30" s="55" t="str">
        <x:v>E3</x:v>
      </x:c>
      <x:c r="H30" s="51" t="str">
        <x:v>Unknown</x:v>
      </x:c>
      <x:c r="I30" s="55" t="n">
        <x:f>IF($A30="","",IF($H30="Met",1,IF($H30="Partially met",0.5,IF(OR($H30="Unmet",$H30="Unknown"),0,""))))</x:f>
        <x:v>0</x:v>
      </x:c>
      <x:c r="J30" s="51" t="str">
        <x:v>E0</x:v>
      </x:c>
      <x:c r="K30" s="55" t="n">
        <x:f>IF($A30="","",IF($J30="E4",4,IF($J30="E3",3,IF($J30="E2",2,IF($J30="E1",1,0)))))</x:f>
        <x:v>0</x:v>
      </x:c>
      <x:c r="L30" s="51" t="str">
        <x:v>Unknown</x:v>
      </x:c>
      <x:c r="M30" s="51" t="str"/>
      <x:c r="N30" s="51" t="str"/>
      <x:c r="O30" s="51" t="str"/>
      <x:c r="P30" s="51" t="str"/>
      <x:c r="Q30" s="55" t="n">
        <x:f>IF($A30="","",IF($D30="Baseline",1,IF($D30="Elevated",IF(OR('Profile'!$B$11="Elevated",'Profile'!$B$11="Critical"),1,0),IF($D30="Critical",IF('Profile'!$B$11="Critical",1,0),1))))</x:f>
        <x:v>1</x:v>
      </x:c>
      <x:c r="R30" s="55" t="n">
        <x:f>IF($A30="","",IF($Q30=0,0,IF($H30="N/A",0,IF($H30="Met",IF(AND($K30&gt;=VALUE(RIGHT($G30,1)),$L30="Yes"),1,0),IF($H30="Partially met",IF(AND($K30&gt;=1,$L30="Yes"),0.5,0),0)))))</x:f>
        <x:v>0</x:v>
      </x:c>
      <x:c r="S30" s="55" t="n">
        <x:f>IF($A30="","",IF($Q30=0,0,IF($H30="N/A",IF(AND($P30&lt;&gt;"",$O30&lt;&gt;"",IFERROR(VLOOKUP($O30,'Exceptions'!$A$5:$M$204,2,FALSE),"")="N/A determination",IFERROR(VLOOKUP($O30,'Exceptions'!$A$5:$M$204,13,FALSE),"")="Active",IFERROR(ISNUMBER(SEARCH($A30,IFERROR(VLOOKUP($O30,'Exceptions'!$A$5:$M$204,3,FALSE),""))),FALSE)),0,1),1)))</x:f>
        <x:v>1</x:v>
      </x:c>
      <x:c r="T30" s="55" t="str">
        <x:f>IF($A30="","",IF($C30="","",IF($H30="N/A",IF(AND($P30&lt;&gt;"",$O30&lt;&gt;"",IFERROR(VLOOKUP($O30,'Exceptions'!$A$5:$M$204,2,FALSE),"")="N/A determination",IFERROR(VLOOKUP($O30,'Exceptions'!$A$5:$M$204,13,FALSE),"")="Active",IFERROR(ISNUMBER(SEARCH($A30,IFERROR(VLOOKUP($O30,'Exceptions'!$A$5:$M$204,3,FALSE),""))),FALSE)),"N/A","FAIL"),IF(OR($H30="Unknown",$H30="",$K30=0,$L30&lt;&gt;"Yes"),"UNKNOWN",IF($H30="Met",IF($K30&gt;=VALUE(RIGHT($G30,1)),"PASS","UNKNOWN"),IF(OR($H30="Partially met",$H30="Unmet"),"FAIL","UNKNOWN"))))))</x:f>
      </x:c>
      <x:c r="U30" s="55" t="n">
        <x:f>IF($A30="","",IF($S30=0,0,IF(AND($K30&gt;=1,$L30="Yes"),1,0)))</x:f>
        <x:v>0</x:v>
      </x:c>
      <x:c r="V30" s="55" t="n">
        <x:f>IF($A30="","",IF(OR($S30=0,$H30="N/A",$L30&lt;&gt;"Yes"),0,$K30))</x:f>
        <x:v>0</x:v>
      </x:c>
      <x:c r="W30" s="55" t="str">
        <x:v>M-DCR-03 (support/security route coverage and freshness).</x:v>
      </x:c>
      <x:c r="X30" s="55" t="str">
        <x:v>Pass at 100%; Concern only when every applicable route resolves and the sole deficiency is verification overdue by no more than 25% of its tier interval; Fail when any applicable route is missing/nonfunctional or another assertion is unsatisfied.</x:v>
      </x:c>
      <x:c r="Y30" s="55" t="str">
        <x:v>SRC-001, SRC-004, SRC-018 | https://baseline.openssf.org/versions/2026-02-19.html</x:v>
      </x:c>
      <x:c r="Z30" s="55" t="str">
        <x:v>Scored only in DCR; the result may inform an SSC finding without duplicate points and has no standalone grade cap.</x:v>
      </x:c>
      <x:c r="AA30" s="55" t="str">
        <x:v>Publish monitored routes, state scope and response expectations, test delivery, and replace personal contacts with durable team channels.</x:v>
      </x:c>
      <x:c r="AB30" s="55" t="str">
        <x:f>IF($A30="","",IF(AND($Q30=1,$H30="N/A",NOT(AND($P30&lt;&gt;"",$O30&lt;&gt;"",IFERROR(VLOOKUP($O30,'Exceptions'!$A$5:$M$204,2,FALSE),"")="N/A determination",IFERROR(VLOOKUP($O30,'Exceptions'!$A$5:$M$204,13,FALSE),"")="Active",IFERROR(ISNUMBER(SEARCH($A30,IFERROR(VLOOKUP($O30,'Exceptions'!$A$5:$M$204,3,FALSE),""))),FALSE)))),"MISSING OR INVALID N/A DECISION",IF(AND($Q30=1,OR($H30="Partially met",$H30="Unmet"),OR($K30&lt;1,$L30&lt;&gt;"Yes")),"KNOWN RATING NEEDS FRESH E1",IF(AND($Q30=1,$H30="Met",OR($K30&lt;VALUE(RIGHT($G30,1)),$L30&lt;&gt;"Yes")),"EVIDENCE BELOW MINIMUM",IF(AND($Q30=1,OR($H30="",$H30="Unknown")),"UNASSESSED",IF(AND($H30="N/A",AND($P30&lt;&gt;"",$O30&lt;&gt;"",IFERROR(VLOOKUP($O30,'Exceptions'!$A$5:$M$204,2,FALSE),"")="N/A determination",IFERROR(VLOOKUP($O30,'Exceptions'!$A$5:$M$204,13,FALSE),"")="Active",IFERROR(ISNUMBER(SEARCH($A30,IFERROR(VLOOKUP($O30,'Exceptions'!$A$5:$M$204,3,FALSE),""))),FALSE))),"N/A APPROVED",IF($O30&lt;&gt;"","EXCEPTION REVIEW","OK")))))))</x:f>
        <x:v>UNASSESSED</x:v>
      </x:c>
    </x:row>
    <x:row r="31">
      <x:c r="A31" s="55" t="str">
        <x:v>DCR-04</x:v>
      </x:c>
      <x:c r="B31" s="55" t="str">
        <x:v>Documentation and contributor readiness</x:v>
      </x:c>
      <x:c r="C31" s="55" t="str"/>
      <x:c r="D31" s="55" t="str">
        <x:v>Baseline</x:v>
      </x:c>
      <x:c r="E31" s="55" t="str">
        <x:v>Baseline for rights declaration; Elevated and Critical for released outputs and compatibility commitments.</x:v>
      </x:c>
      <x:c r="F31" s="55" t="str">
        <x:v>The repository MUST state applicable usage/licensing rights, and released outputs MUST document versioning, compatibility, and material changes according to their declared release policy.</x:v>
      </x:c>
      <x:c r="G31" s="55" t="str">
        <x:v>E2</x:v>
      </x:c>
      <x:c r="H31" s="51" t="str">
        <x:v>Unknown</x:v>
      </x:c>
      <x:c r="I31" s="55" t="n">
        <x:f>IF($A31="","",IF($H31="Met",1,IF($H31="Partially met",0.5,IF(OR($H31="Unmet",$H31="Unknown"),0,""))))</x:f>
        <x:v>0</x:v>
      </x:c>
      <x:c r="J31" s="51" t="str">
        <x:v>E0</x:v>
      </x:c>
      <x:c r="K31" s="55" t="n">
        <x:f>IF($A31="","",IF($J31="E4",4,IF($J31="E3",3,IF($J31="E2",2,IF($J31="E1",1,0)))))</x:f>
        <x:v>0</x:v>
      </x:c>
      <x:c r="L31" s="51" t="str">
        <x:v>Unknown</x:v>
      </x:c>
      <x:c r="M31" s="51" t="str"/>
      <x:c r="N31" s="51" t="str"/>
      <x:c r="O31" s="51" t="str"/>
      <x:c r="P31" s="51" t="str"/>
      <x:c r="Q31" s="55" t="n">
        <x:f>IF($A31="","",IF($D31="Baseline",1,IF($D31="Elevated",IF(OR('Profile'!$B$11="Elevated",'Profile'!$B$11="Critical"),1,0),IF($D31="Critical",IF('Profile'!$B$11="Critical",1,0),1))))</x:f>
        <x:v>1</x:v>
      </x:c>
      <x:c r="R31" s="55" t="n">
        <x:f>IF($A31="","",IF($Q31=0,0,IF($H31="N/A",0,IF($H31="Met",IF(AND($K31&gt;=VALUE(RIGHT($G31,1)),$L31="Yes"),1,0),IF($H31="Partially met",IF(AND($K31&gt;=1,$L31="Yes"),0.5,0),0)))))</x:f>
        <x:v>0</x:v>
      </x:c>
      <x:c r="S31" s="55" t="n">
        <x:f>IF($A31="","",IF($Q31=0,0,IF($H31="N/A",IF(AND($P31&lt;&gt;"",$O31&lt;&gt;"",IFERROR(VLOOKUP($O31,'Exceptions'!$A$5:$M$204,2,FALSE),"")="N/A determination",IFERROR(VLOOKUP($O31,'Exceptions'!$A$5:$M$204,13,FALSE),"")="Active",IFERROR(ISNUMBER(SEARCH($A31,IFERROR(VLOOKUP($O31,'Exceptions'!$A$5:$M$204,3,FALSE),""))),FALSE)),0,1),1)))</x:f>
        <x:v>1</x:v>
      </x:c>
      <x:c r="T31" s="55" t="str">
        <x:f>IF($A31="","",IF($C31="","",IF($H31="N/A",IF(AND($P31&lt;&gt;"",$O31&lt;&gt;"",IFERROR(VLOOKUP($O31,'Exceptions'!$A$5:$M$204,2,FALSE),"")="N/A determination",IFERROR(VLOOKUP($O31,'Exceptions'!$A$5:$M$204,13,FALSE),"")="Active",IFERROR(ISNUMBER(SEARCH($A31,IFERROR(VLOOKUP($O31,'Exceptions'!$A$5:$M$204,3,FALSE),""))),FALSE)),"N/A","FAIL"),IF(OR($H31="Unknown",$H31="",$K31=0,$L31&lt;&gt;"Yes"),"UNKNOWN",IF($H31="Met",IF($K31&gt;=VALUE(RIGHT($G31,1)),"PASS","UNKNOWN"),IF(OR($H31="Partially met",$H31="Unmet"),"FAIL","UNKNOWN"))))))</x:f>
      </x:c>
      <x:c r="U31" s="55" t="n">
        <x:f>IF($A31="","",IF($S31=0,0,IF(AND($K31&gt;=1,$L31="Yes"),1,0)))</x:f>
        <x:v>0</x:v>
      </x:c>
      <x:c r="V31" s="55" t="n">
        <x:f>IF($A31="","",IF(OR($S31=0,$H31="N/A",$L31&lt;&gt;"Yes"),0,$K31))</x:f>
        <x:v>0</x:v>
      </x:c>
      <x:c r="W31" s="55" t="str">
        <x:v>M-DCR-04 (rights and release-documentation coverage).</x:v>
      </x:c>
      <x:c r="X31" s="55" t="str">
        <x:v>Pass at 100%; Concern from 80% to below 100% when rights remain clear; Fail below 80% or when usage rights are absent/ambiguous.</x:v>
      </x:c>
      <x:c r="Y31" s="55" t="str">
        <x:v>SRC-001, SRC-004, SRC-018, SRC-019 | https://baseline.openssf.org/versions/2026-02-19.html</x:v>
      </x:c>
      <x:c r="Z31" s="55" t="str">
        <x:v>Scored only in DCR; no standalone grade cap.</x:v>
      </x:c>
      <x:c r="AA31" s="55" t="str">
        <x:v>Add the correct rights notice, declare versioning/support policy, publish release notes, and document breaking-change migration.</x:v>
      </x:c>
      <x:c r="AB31" s="55" t="str">
        <x:f>IF($A31="","",IF(AND($Q31=1,$H31="N/A",NOT(AND($P31&lt;&gt;"",$O31&lt;&gt;"",IFERROR(VLOOKUP($O31,'Exceptions'!$A$5:$M$204,2,FALSE),"")="N/A determination",IFERROR(VLOOKUP($O31,'Exceptions'!$A$5:$M$204,13,FALSE),"")="Active",IFERROR(ISNUMBER(SEARCH($A31,IFERROR(VLOOKUP($O31,'Exceptions'!$A$5:$M$204,3,FALSE),""))),FALSE)))),"MISSING OR INVALID N/A DECISION",IF(AND($Q31=1,OR($H31="Partially met",$H31="Unmet"),OR($K31&lt;1,$L31&lt;&gt;"Yes")),"KNOWN RATING NEEDS FRESH E1",IF(AND($Q31=1,$H31="Met",OR($K31&lt;VALUE(RIGHT($G31,1)),$L31&lt;&gt;"Yes")),"EVIDENCE BELOW MINIMUM",IF(AND($Q31=1,OR($H31="",$H31="Unknown")),"UNASSESSED",IF(AND($H31="N/A",AND($P31&lt;&gt;"",$O31&lt;&gt;"",IFERROR(VLOOKUP($O31,'Exceptions'!$A$5:$M$204,2,FALSE),"")="N/A determination",IFERROR(VLOOKUP($O31,'Exceptions'!$A$5:$M$204,13,FALSE),"")="Active",IFERROR(ISNUMBER(SEARCH($A31,IFERROR(VLOOKUP($O31,'Exceptions'!$A$5:$M$204,3,FALSE),""))),FALSE))),"N/A APPROVED",IF($O31&lt;&gt;"","EXCEPTION REVIEW","OK")))))))</x:f>
        <x:v>UNASSESSED</x:v>
      </x:c>
    </x:row>
    <x:row r="32">
      <x:c r="A32" s="55" t="str">
        <x:v>RRO-01</x:v>
      </x:c>
      <x:c r="B32" s="55" t="str">
        <x:v>Release, rollback, and operational readiness</x:v>
      </x:c>
      <x:c r="C32" s="55" t="str"/>
      <x:c r="D32" s="55" t="str">
        <x:v>Baseline</x:v>
      </x:c>
      <x:c r="E32" s="55" t="str">
        <x:v>Elevated and Critical; Baseline for any repository with a current supported release or an eligible release/deployment/publication in the observation window.</x:v>
      </x:c>
      <x:c r="F32" s="55" t="str">
        <x:v>Each release MUST preserve a complete evidence record linking approved source, successful build/validation, immutable artifact or content, release authorization, target, status, and material release notes.</x:v>
      </x:c>
      <x:c r="G32" s="55" t="str">
        <x:v>E3</x:v>
      </x:c>
      <x:c r="H32" s="51" t="str">
        <x:v>Unknown</x:v>
      </x:c>
      <x:c r="I32" s="55" t="n">
        <x:f>IF($A32="","",IF($H32="Met",1,IF($H32="Partially met",0.5,IF(OR($H32="Unmet",$H32="Unknown"),0,""))))</x:f>
        <x:v>0</x:v>
      </x:c>
      <x:c r="J32" s="51" t="str">
        <x:v>E0</x:v>
      </x:c>
      <x:c r="K32" s="55" t="n">
        <x:f>IF($A32="","",IF($J32="E4",4,IF($J32="E3",3,IF($J32="E2",2,IF($J32="E1",1,0)))))</x:f>
        <x:v>0</x:v>
      </x:c>
      <x:c r="L32" s="51" t="str">
        <x:v>Unknown</x:v>
      </x:c>
      <x:c r="M32" s="51" t="str"/>
      <x:c r="N32" s="51" t="str"/>
      <x:c r="O32" s="51" t="str"/>
      <x:c r="P32" s="51" t="str"/>
      <x:c r="Q32" s="55" t="n">
        <x:f>IF($A32="","",IF($D32="Baseline",1,IF($D32="Elevated",IF(OR('Profile'!$B$11="Elevated",'Profile'!$B$11="Critical"),1,0),IF($D32="Critical",IF('Profile'!$B$11="Critical",1,0),1))))</x:f>
        <x:v>1</x:v>
      </x:c>
      <x:c r="R32" s="55" t="n">
        <x:f>IF($A32="","",IF($Q32=0,0,IF($H32="N/A",0,IF($H32="Met",IF(AND($K32&gt;=VALUE(RIGHT($G32,1)),$L32="Yes"),1,0),IF($H32="Partially met",IF(AND($K32&gt;=1,$L32="Yes"),0.5,0),0)))))</x:f>
        <x:v>0</x:v>
      </x:c>
      <x:c r="S32" s="55" t="n">
        <x:f>IF($A32="","",IF($Q32=0,0,IF($H32="N/A",IF(AND($P32&lt;&gt;"",$O32&lt;&gt;"",IFERROR(VLOOKUP($O32,'Exceptions'!$A$5:$M$204,2,FALSE),"")="N/A determination",IFERROR(VLOOKUP($O32,'Exceptions'!$A$5:$M$204,13,FALSE),"")="Active",IFERROR(ISNUMBER(SEARCH($A32,IFERROR(VLOOKUP($O32,'Exceptions'!$A$5:$M$204,3,FALSE),""))),FALSE)),0,1),1)))</x:f>
        <x:v>1</x:v>
      </x:c>
      <x:c r="T32" s="55" t="str">
        <x:f>IF($A32="","",IF($C32="","",IF($H32="N/A",IF(AND($P32&lt;&gt;"",$O32&lt;&gt;"",IFERROR(VLOOKUP($O32,'Exceptions'!$A$5:$M$204,2,FALSE),"")="N/A determination",IFERROR(VLOOKUP($O32,'Exceptions'!$A$5:$M$204,13,FALSE),"")="Active",IFERROR(ISNUMBER(SEARCH($A32,IFERROR(VLOOKUP($O32,'Exceptions'!$A$5:$M$204,3,FALSE),""))),FALSE)),"N/A","FAIL"),IF(OR($H32="Unknown",$H32="",$K32=0,$L32&lt;&gt;"Yes"),"UNKNOWN",IF($H32="Met",IF($K32&gt;=VALUE(RIGHT($G32,1)),"PASS","UNKNOWN"),IF(OR($H32="Partially met",$H32="Unmet"),"FAIL","UNKNOWN"))))))</x:f>
      </x:c>
      <x:c r="U32" s="55" t="n">
        <x:f>IF($A32="","",IF($S32=0,0,IF(AND($K32&gt;=1,$L32="Yes"),1,0)))</x:f>
        <x:v>0</x:v>
      </x:c>
      <x:c r="V32" s="55" t="n">
        <x:f>IF($A32="","",IF(OR($S32=0,$H32="N/A",$L32&lt;&gt;"Yes"),0,$K32))</x:f>
        <x:v>0</x:v>
      </x:c>
      <x:c r="W32" s="55" t="str">
        <x:v>M-RRO-01 (release-evidence completeness).</x:v>
      </x:c>
      <x:c r="X32" s="55" t="str">
        <x:v>Pass at 100%; Concern from 95% to below 100%; Fail below 95% or any current release without source/artifact identity.</x:v>
      </x:c>
      <x:c r="Y32" s="55" t="str">
        <x:v>SRC-001, SRC-003, SRC-005, SRC-011, SRC-019, SRC-020 | https://csrc.nist.gov/pubs/sp/800/218/final</x:v>
      </x:c>
      <x:c r="Z32" s="55" t="str">
        <x:v>Scored only in RRO; missing current identity also causes G-02 to Fail without adding a second RRO point.</x:v>
      </x:c>
      <x:c r="AA32" s="55" t="str">
        <x:v>Define a durable release record, capture evidence during the pipeline, retain it for the support period, and reconcile current releases.</x:v>
      </x:c>
      <x:c r="AB32" s="55" t="str">
        <x:f>IF($A32="","",IF(AND($Q32=1,$H32="N/A",NOT(AND($P32&lt;&gt;"",$O32&lt;&gt;"",IFERROR(VLOOKUP($O32,'Exceptions'!$A$5:$M$204,2,FALSE),"")="N/A determination",IFERROR(VLOOKUP($O32,'Exceptions'!$A$5:$M$204,13,FALSE),"")="Active",IFERROR(ISNUMBER(SEARCH($A32,IFERROR(VLOOKUP($O32,'Exceptions'!$A$5:$M$204,3,FALSE),""))),FALSE)))),"MISSING OR INVALID N/A DECISION",IF(AND($Q32=1,OR($H32="Partially met",$H32="Unmet"),OR($K32&lt;1,$L32&lt;&gt;"Yes")),"KNOWN RATING NEEDS FRESH E1",IF(AND($Q32=1,$H32="Met",OR($K32&lt;VALUE(RIGHT($G32,1)),$L32&lt;&gt;"Yes")),"EVIDENCE BELOW MINIMUM",IF(AND($Q32=1,OR($H32="",$H32="Unknown")),"UNASSESSED",IF(AND($H32="N/A",AND($P32&lt;&gt;"",$O32&lt;&gt;"",IFERROR(VLOOKUP($O32,'Exceptions'!$A$5:$M$204,2,FALSE),"")="N/A determination",IFERROR(VLOOKUP($O32,'Exceptions'!$A$5:$M$204,13,FALSE),"")="Active",IFERROR(ISNUMBER(SEARCH($A32,IFERROR(VLOOKUP($O32,'Exceptions'!$A$5:$M$204,3,FALSE),""))),FALSE))),"N/A APPROVED",IF($O32&lt;&gt;"","EXCEPTION REVIEW","OK")))))))</x:f>
        <x:v>UNASSESSED</x:v>
      </x:c>
    </x:row>
    <x:row r="33">
      <x:c r="A33" s="55" t="str">
        <x:v>RRO-02</x:v>
      </x:c>
      <x:c r="B33" s="55" t="str">
        <x:v>Release, rollback, and operational readiness</x:v>
      </x:c>
      <x:c r="C33" s="55" t="str"/>
      <x:c r="D33" s="55" t="str">
        <x:v>Baseline</x:v>
      </x:c>
      <x:c r="E33" s="55" t="str">
        <x:v>Elevated and Critical for current operational or supported outputs; Baseline SHOULD comply for current operational outputs.</x:v>
      </x:c>
      <x:c r="F33" s="55" t="str">
        <x:v>Each deployable unit MUST have a version-appropriate recovery method—rollback, roll-forward, revert, package withdrawal/reissue, infrastructure restore, or content republication—and Elevated/Critical owners MUST periodically exercise it.</x:v>
      </x:c>
      <x:c r="G33" s="55" t="str">
        <x:v>E3</x:v>
      </x:c>
      <x:c r="H33" s="51" t="str">
        <x:v>Unknown</x:v>
      </x:c>
      <x:c r="I33" s="55" t="n">
        <x:f>IF($A33="","",IF($H33="Met",1,IF($H33="Partially met",0.5,IF(OR($H33="Unmet",$H33="Unknown"),0,""))))</x:f>
        <x:v>0</x:v>
      </x:c>
      <x:c r="J33" s="51" t="str">
        <x:v>E0</x:v>
      </x:c>
      <x:c r="K33" s="55" t="n">
        <x:f>IF($A33="","",IF($J33="E4",4,IF($J33="E3",3,IF($J33="E2",2,IF($J33="E1",1,0)))))</x:f>
        <x:v>0</x:v>
      </x:c>
      <x:c r="L33" s="51" t="str">
        <x:v>Unknown</x:v>
      </x:c>
      <x:c r="M33" s="51" t="str"/>
      <x:c r="N33" s="51" t="str"/>
      <x:c r="O33" s="51" t="str"/>
      <x:c r="P33" s="51" t="str"/>
      <x:c r="Q33" s="55" t="n">
        <x:f>IF($A33="","",IF($D33="Baseline",1,IF($D33="Elevated",IF(OR('Profile'!$B$11="Elevated",'Profile'!$B$11="Critical"),1,0),IF($D33="Critical",IF('Profile'!$B$11="Critical",1,0),1))))</x:f>
        <x:v>1</x:v>
      </x:c>
      <x:c r="R33" s="55" t="n">
        <x:f>IF($A33="","",IF($Q33=0,0,IF($H33="N/A",0,IF($H33="Met",IF(AND($K33&gt;=VALUE(RIGHT($G33,1)),$L33="Yes"),1,0),IF($H33="Partially met",IF(AND($K33&gt;=1,$L33="Yes"),0.5,0),0)))))</x:f>
        <x:v>0</x:v>
      </x:c>
      <x:c r="S33" s="55" t="n">
        <x:f>IF($A33="","",IF($Q33=0,0,IF($H33="N/A",IF(AND($P33&lt;&gt;"",$O33&lt;&gt;"",IFERROR(VLOOKUP($O33,'Exceptions'!$A$5:$M$204,2,FALSE),"")="N/A determination",IFERROR(VLOOKUP($O33,'Exceptions'!$A$5:$M$204,13,FALSE),"")="Active",IFERROR(ISNUMBER(SEARCH($A33,IFERROR(VLOOKUP($O33,'Exceptions'!$A$5:$M$204,3,FALSE),""))),FALSE)),0,1),1)))</x:f>
        <x:v>1</x:v>
      </x:c>
      <x:c r="T33" s="55" t="str">
        <x:f>IF($A33="","",IF($C33="","",IF($H33="N/A",IF(AND($P33&lt;&gt;"",$O33&lt;&gt;"",IFERROR(VLOOKUP($O33,'Exceptions'!$A$5:$M$204,2,FALSE),"")="N/A determination",IFERROR(VLOOKUP($O33,'Exceptions'!$A$5:$M$204,13,FALSE),"")="Active",IFERROR(ISNUMBER(SEARCH($A33,IFERROR(VLOOKUP($O33,'Exceptions'!$A$5:$M$204,3,FALSE),""))),FALSE)),"N/A","FAIL"),IF(OR($H33="Unknown",$H33="",$K33=0,$L33&lt;&gt;"Yes"),"UNKNOWN",IF($H33="Met",IF($K33&gt;=VALUE(RIGHT($G33,1)),"PASS","UNKNOWN"),IF(OR($H33="Partially met",$H33="Unmet"),"FAIL","UNKNOWN"))))))</x:f>
      </x:c>
      <x:c r="U33" s="55" t="n">
        <x:f>IF($A33="","",IF($S33=0,0,IF(AND($K33&gt;=1,$L33="Yes"),1,0)))</x:f>
        <x:v>0</x:v>
      </x:c>
      <x:c r="V33" s="55" t="n">
        <x:f>IF($A33="","",IF(OR($S33=0,$H33="N/A",$L33&lt;&gt;"Yes"),0,$K33))</x:f>
        <x:v>0</x:v>
      </x:c>
      <x:c r="W33" s="55" t="str">
        <x:v>M-RRO-02 (recovery exercise age and result).</x:v>
      </x:c>
      <x:c r="X33" s="55" t="str">
        <x:v>Pass when the last successful exercise is within 365 days Baseline, 180 days Elevated, or 90 days Critical; Concern up to 1.25 times the interval; Fail beyond that or after a failed exercise without successful retest.</x:v>
      </x:c>
      <x:c r="Y33" s="55" t="str">
        <x:v>SRC-001, SRC-003, SRC-008 | https://csrc.nist.gov/pubs/sp/800/218/final</x:v>
      </x:c>
      <x:c r="Z33" s="55" t="str">
        <x:v>Scored only in RRO; no standalone grade cap.</x:v>
      </x:c>
      <x:c r="AA33" s="55" t="str">
        <x:v>Select the recovery strategy, automate where safe, exercise it in a representative environment, and close findings.</x:v>
      </x:c>
      <x:c r="AB33" s="55" t="str">
        <x:f>IF($A33="","",IF(AND($Q33=1,$H33="N/A",NOT(AND($P33&lt;&gt;"",$O33&lt;&gt;"",IFERROR(VLOOKUP($O33,'Exceptions'!$A$5:$M$204,2,FALSE),"")="N/A determination",IFERROR(VLOOKUP($O33,'Exceptions'!$A$5:$M$204,13,FALSE),"")="Active",IFERROR(ISNUMBER(SEARCH($A33,IFERROR(VLOOKUP($O33,'Exceptions'!$A$5:$M$204,3,FALSE),""))),FALSE)))),"MISSING OR INVALID N/A DECISION",IF(AND($Q33=1,OR($H33="Partially met",$H33="Unmet"),OR($K33&lt;1,$L33&lt;&gt;"Yes")),"KNOWN RATING NEEDS FRESH E1",IF(AND($Q33=1,$H33="Met",OR($K33&lt;VALUE(RIGHT($G33,1)),$L33&lt;&gt;"Yes")),"EVIDENCE BELOW MINIMUM",IF(AND($Q33=1,OR($H33="",$H33="Unknown")),"UNASSESSED",IF(AND($H33="N/A",AND($P33&lt;&gt;"",$O33&lt;&gt;"",IFERROR(VLOOKUP($O33,'Exceptions'!$A$5:$M$204,2,FALSE),"")="N/A determination",IFERROR(VLOOKUP($O33,'Exceptions'!$A$5:$M$204,13,FALSE),"")="Active",IFERROR(ISNUMBER(SEARCH($A33,IFERROR(VLOOKUP($O33,'Exceptions'!$A$5:$M$204,3,FALSE),""))),FALSE))),"N/A APPROVED",IF($O33&lt;&gt;"","EXCEPTION REVIEW","OK")))))))</x:f>
        <x:v>UNASSESSED</x:v>
      </x:c>
    </x:row>
    <x:row r="34">
      <x:c r="A34" s="55" t="str">
        <x:v>RRO-03</x:v>
      </x:c>
      <x:c r="B34" s="55" t="str">
        <x:v>Release, rollback, and operational readiness</x:v>
      </x:c>
      <x:c r="C34" s="55" t="str"/>
      <x:c r="D34" s="55" t="str">
        <x:v>Baseline</x:v>
      </x:c>
      <x:c r="E34" s="55" t="str">
        <x:v>Elevated and Critical; Baseline for automated deployment/publication.</x:v>
      </x:c>
      <x:c r="F34" s="55" t="str">
        <x:v>Production deployment or publication MUST accept only authorized source refs or immutable artifacts, protect credentials and targets, enforce declared approvals/policies, serialize conflicting operations where necessary, and retain deployment status/history.</x:v>
      </x:c>
      <x:c r="G34" s="55" t="str">
        <x:v>E3</x:v>
      </x:c>
      <x:c r="H34" s="51" t="str">
        <x:v>Unknown</x:v>
      </x:c>
      <x:c r="I34" s="55" t="n">
        <x:f>IF($A34="","",IF($H34="Met",1,IF($H34="Partially met",0.5,IF(OR($H34="Unmet",$H34="Unknown"),0,""))))</x:f>
        <x:v>0</x:v>
      </x:c>
      <x:c r="J34" s="51" t="str">
        <x:v>E0</x:v>
      </x:c>
      <x:c r="K34" s="55" t="n">
        <x:f>IF($A34="","",IF($J34="E4",4,IF($J34="E3",3,IF($J34="E2",2,IF($J34="E1",1,0)))))</x:f>
        <x:v>0</x:v>
      </x:c>
      <x:c r="L34" s="51" t="str">
        <x:v>Unknown</x:v>
      </x:c>
      <x:c r="M34" s="51" t="str"/>
      <x:c r="N34" s="51" t="str"/>
      <x:c r="O34" s="51" t="str"/>
      <x:c r="P34" s="51" t="str"/>
      <x:c r="Q34" s="55" t="n">
        <x:f>IF($A34="","",IF($D34="Baseline",1,IF($D34="Elevated",IF(OR('Profile'!$B$11="Elevated",'Profile'!$B$11="Critical"),1,0),IF($D34="Critical",IF('Profile'!$B$11="Critical",1,0),1))))</x:f>
        <x:v>1</x:v>
      </x:c>
      <x:c r="R34" s="55" t="n">
        <x:f>IF($A34="","",IF($Q34=0,0,IF($H34="N/A",0,IF($H34="Met",IF(AND($K34&gt;=VALUE(RIGHT($G34,1)),$L34="Yes"),1,0),IF($H34="Partially met",IF(AND($K34&gt;=1,$L34="Yes"),0.5,0),0)))))</x:f>
        <x:v>0</x:v>
      </x:c>
      <x:c r="S34" s="55" t="n">
        <x:f>IF($A34="","",IF($Q34=0,0,IF($H34="N/A",IF(AND($P34&lt;&gt;"",$O34&lt;&gt;"",IFERROR(VLOOKUP($O34,'Exceptions'!$A$5:$M$204,2,FALSE),"")="N/A determination",IFERROR(VLOOKUP($O34,'Exceptions'!$A$5:$M$204,13,FALSE),"")="Active",IFERROR(ISNUMBER(SEARCH($A34,IFERROR(VLOOKUP($O34,'Exceptions'!$A$5:$M$204,3,FALSE),""))),FALSE)),0,1),1)))</x:f>
        <x:v>1</x:v>
      </x:c>
      <x:c r="T34" s="55" t="str">
        <x:f>IF($A34="","",IF($C34="","",IF($H34="N/A",IF(AND($P34&lt;&gt;"",$O34&lt;&gt;"",IFERROR(VLOOKUP($O34,'Exceptions'!$A$5:$M$204,2,FALSE),"")="N/A determination",IFERROR(VLOOKUP($O34,'Exceptions'!$A$5:$M$204,13,FALSE),"")="Active",IFERROR(ISNUMBER(SEARCH($A34,IFERROR(VLOOKUP($O34,'Exceptions'!$A$5:$M$204,3,FALSE),""))),FALSE)),"N/A","FAIL"),IF(OR($H34="Unknown",$H34="",$K34=0,$L34&lt;&gt;"Yes"),"UNKNOWN",IF($H34="Met",IF($K34&gt;=VALUE(RIGHT($G34,1)),"PASS","UNKNOWN"),IF(OR($H34="Partially met",$H34="Unmet"),"FAIL","UNKNOWN"))))))</x:f>
      </x:c>
      <x:c r="U34" s="55" t="n">
        <x:f>IF($A34="","",IF($S34=0,0,IF(AND($K34&gt;=1,$L34="Yes"),1,0)))</x:f>
        <x:v>0</x:v>
      </x:c>
      <x:c r="V34" s="55" t="n">
        <x:f>IF($A34="","",IF(OR($S34=0,$H34="N/A",$L34&lt;&gt;"Yes"),0,$K34))</x:f>
        <x:v>0</x:v>
      </x:c>
      <x:c r="W34" s="55" t="str">
        <x:v>M-RRO-03 (production deployment-control coverage).</x:v>
      </x:c>
      <x:c r="X34" s="55" t="str">
        <x:v>Pass at 100%; Concern from 90% to below 100% with no unauthorized path; Fail below 90% or any path that permits an untrusted ref/artifact to reach production.</x:v>
      </x:c>
      <x:c r="Y34" s="55" t="str">
        <x:v>SRC-001, SRC-005, SRC-010, SRC-011, SRC-013 | https://slsa.dev/spec/v1.2/</x:v>
      </x:c>
      <x:c r="Z34" s="55" t="str">
        <x:v>Scored only in RRO; the result may inform an SPI finding without duplicate points. An unauthorized path also fails G-02, G-03, or G-04 when the applicable gate outcome is not satisfied.</x:v>
      </x:c>
      <x:c r="AA34" s="55" t="str">
        <x:v>Restrict deployment inputs and identities, add environment protections and provenance verification, serialize collisions, and retain status records.</x:v>
      </x:c>
      <x:c r="AB34" s="55" t="str">
        <x:f>IF($A34="","",IF(AND($Q34=1,$H34="N/A",NOT(AND($P34&lt;&gt;"",$O34&lt;&gt;"",IFERROR(VLOOKUP($O34,'Exceptions'!$A$5:$M$204,2,FALSE),"")="N/A determination",IFERROR(VLOOKUP($O34,'Exceptions'!$A$5:$M$204,13,FALSE),"")="Active",IFERROR(ISNUMBER(SEARCH($A34,IFERROR(VLOOKUP($O34,'Exceptions'!$A$5:$M$204,3,FALSE),""))),FALSE)))),"MISSING OR INVALID N/A DECISION",IF(AND($Q34=1,OR($H34="Partially met",$H34="Unmet"),OR($K34&lt;1,$L34&lt;&gt;"Yes")),"KNOWN RATING NEEDS FRESH E1",IF(AND($Q34=1,$H34="Met",OR($K34&lt;VALUE(RIGHT($G34,1)),$L34&lt;&gt;"Yes")),"EVIDENCE BELOW MINIMUM",IF(AND($Q34=1,OR($H34="",$H34="Unknown")),"UNASSESSED",IF(AND($H34="N/A",AND($P34&lt;&gt;"",$O34&lt;&gt;"",IFERROR(VLOOKUP($O34,'Exceptions'!$A$5:$M$204,2,FALSE),"")="N/A determination",IFERROR(VLOOKUP($O34,'Exceptions'!$A$5:$M$204,13,FALSE),"")="Active",IFERROR(ISNUMBER(SEARCH($A34,IFERROR(VLOOKUP($O34,'Exceptions'!$A$5:$M$204,3,FALSE),""))),FALSE))),"N/A APPROVED",IF($O34&lt;&gt;"","EXCEPTION REVIEW","OK")))))))</x:f>
        <x:v>UNASSESSED</x:v>
      </x:c>
    </x:row>
    <x:row r="35">
      <x:c r="A35" s="55" t="str">
        <x:v>RRO-04</x:v>
      </x:c>
      <x:c r="B35" s="55" t="str">
        <x:v>Release, rollback, and operational readiness</x:v>
      </x:c>
      <x:c r="C35" s="55" t="str"/>
      <x:c r="D35" s="55" t="str">
        <x:v>Baseline</x:v>
      </x:c>
      <x:c r="E35" s="55" t="str">
        <x:v>Elevated and Critical; Baseline for operated services, infrastructure, data pipelines, or supported published packages.</x:v>
      </x:c>
      <x:c r="F35" s="55" t="str">
        <x:v>Before an output is considered production-ready, the owner MUST document and verify the applicable health, observability, release-verification, incident, data-recovery/migration, support, and dependency-withdrawal responsibilities.</x:v>
      </x:c>
      <x:c r="G35" s="55" t="str">
        <x:v>E3</x:v>
      </x:c>
      <x:c r="H35" s="51" t="str">
        <x:v>Unknown</x:v>
      </x:c>
      <x:c r="I35" s="55" t="n">
        <x:f>IF($A35="","",IF($H35="Met",1,IF($H35="Partially met",0.5,IF(OR($H35="Unmet",$H35="Unknown"),0,""))))</x:f>
        <x:v>0</x:v>
      </x:c>
      <x:c r="J35" s="51" t="str">
        <x:v>E0</x:v>
      </x:c>
      <x:c r="K35" s="55" t="n">
        <x:f>IF($A35="","",IF($J35="E4",4,IF($J35="E3",3,IF($J35="E2",2,IF($J35="E1",1,0)))))</x:f>
        <x:v>0</x:v>
      </x:c>
      <x:c r="L35" s="51" t="str">
        <x:v>Unknown</x:v>
      </x:c>
      <x:c r="M35" s="51" t="str"/>
      <x:c r="N35" s="51" t="str"/>
      <x:c r="O35" s="51" t="str"/>
      <x:c r="P35" s="51" t="str"/>
      <x:c r="Q35" s="55" t="n">
        <x:f>IF($A35="","",IF($D35="Baseline",1,IF($D35="Elevated",IF(OR('Profile'!$B$11="Elevated",'Profile'!$B$11="Critical"),1,0),IF($D35="Critical",IF('Profile'!$B$11="Critical",1,0),1))))</x:f>
        <x:v>1</x:v>
      </x:c>
      <x:c r="R35" s="55" t="n">
        <x:f>IF($A35="","",IF($Q35=0,0,IF($H35="N/A",0,IF($H35="Met",IF(AND($K35&gt;=VALUE(RIGHT($G35,1)),$L35="Yes"),1,0),IF($H35="Partially met",IF(AND($K35&gt;=1,$L35="Yes"),0.5,0),0)))))</x:f>
        <x:v>0</x:v>
      </x:c>
      <x:c r="S35" s="55" t="n">
        <x:f>IF($A35="","",IF($Q35=0,0,IF($H35="N/A",IF(AND($P35&lt;&gt;"",$O35&lt;&gt;"",IFERROR(VLOOKUP($O35,'Exceptions'!$A$5:$M$204,2,FALSE),"")="N/A determination",IFERROR(VLOOKUP($O35,'Exceptions'!$A$5:$M$204,13,FALSE),"")="Active",IFERROR(ISNUMBER(SEARCH($A35,IFERROR(VLOOKUP($O35,'Exceptions'!$A$5:$M$204,3,FALSE),""))),FALSE)),0,1),1)))</x:f>
        <x:v>1</x:v>
      </x:c>
      <x:c r="T35" s="55" t="str">
        <x:f>IF($A35="","",IF($C35="","",IF($H35="N/A",IF(AND($P35&lt;&gt;"",$O35&lt;&gt;"",IFERROR(VLOOKUP($O35,'Exceptions'!$A$5:$M$204,2,FALSE),"")="N/A determination",IFERROR(VLOOKUP($O35,'Exceptions'!$A$5:$M$204,13,FALSE),"")="Active",IFERROR(ISNUMBER(SEARCH($A35,IFERROR(VLOOKUP($O35,'Exceptions'!$A$5:$M$204,3,FALSE),""))),FALSE)),"N/A","FAIL"),IF(OR($H35="Unknown",$H35="",$K35=0,$L35&lt;&gt;"Yes"),"UNKNOWN",IF($H35="Met",IF($K35&gt;=VALUE(RIGHT($G35,1)),"PASS","UNKNOWN"),IF(OR($H35="Partially met",$H35="Unmet"),"FAIL","UNKNOWN"))))))</x:f>
      </x:c>
      <x:c r="U35" s="55" t="n">
        <x:f>IF($A35="","",IF($S35=0,0,IF(AND($K35&gt;=1,$L35="Yes"),1,0)))</x:f>
        <x:v>0</x:v>
      </x:c>
      <x:c r="V35" s="55" t="n">
        <x:f>IF($A35="","",IF(OR($S35=0,$H35="N/A",$L35&lt;&gt;"Yes"),0,$K35))</x:f>
        <x:v>0</x:v>
      </x:c>
      <x:c r="W35" s="55" t="str">
        <x:v>M-RRO-04 (operational-readiness evidence coverage).</x:v>
      </x:c>
      <x:c r="X35" s="55" t="str">
        <x:v>Pass at 100%; Concern from 80% to below 100%; Fail below 80% or any missing Critical-tier incident/recovery owner.</x:v>
      </x:c>
      <x:c r="Y35" s="55" t="str">
        <x:v>SRC-001, SRC-003, SRC-007, SRC-011 | https://csrc.nist.gov/pubs/sp/800/218/final</x:v>
      </x:c>
      <x:c r="Z35" s="55" t="str">
        <x:v>Scored only in RRO; DORA outcomes are reported separately and never blended into this health score.</x:v>
      </x:c>
      <x:c r="AA35" s="55" t="str">
        <x:v>Complete the profile-specific readiness matrix, link live operational evidence, assign owners, and verify before the next release.</x:v>
      </x:c>
      <x:c r="AB35" s="55" t="str">
        <x:f>IF($A35="","",IF(AND($Q35=1,$H35="N/A",NOT(AND($P35&lt;&gt;"",$O35&lt;&gt;"",IFERROR(VLOOKUP($O35,'Exceptions'!$A$5:$M$204,2,FALSE),"")="N/A determination",IFERROR(VLOOKUP($O35,'Exceptions'!$A$5:$M$204,13,FALSE),"")="Active",IFERROR(ISNUMBER(SEARCH($A35,IFERROR(VLOOKUP($O35,'Exceptions'!$A$5:$M$204,3,FALSE),""))),FALSE)))),"MISSING OR INVALID N/A DECISION",IF(AND($Q35=1,OR($H35="Partially met",$H35="Unmet"),OR($K35&lt;1,$L35&lt;&gt;"Yes")),"KNOWN RATING NEEDS FRESH E1",IF(AND($Q35=1,$H35="Met",OR($K35&lt;VALUE(RIGHT($G35,1)),$L35&lt;&gt;"Yes")),"EVIDENCE BELOW MINIMUM",IF(AND($Q35=1,OR($H35="",$H35="Unknown")),"UNASSESSED",IF(AND($H35="N/A",AND($P35&lt;&gt;"",$O35&lt;&gt;"",IFERROR(VLOOKUP($O35,'Exceptions'!$A$5:$M$204,2,FALSE),"")="N/A determination",IFERROR(VLOOKUP($O35,'Exceptions'!$A$5:$M$204,13,FALSE),"")="Active",IFERROR(ISNUMBER(SEARCH($A35,IFERROR(VLOOKUP($O35,'Exceptions'!$A$5:$M$204,3,FALSE),""))),FALSE))),"N/A APPROVED",IF($O35&lt;&gt;"","EXCEPTION REVIEW","OK")))))))</x:f>
        <x:v>UNASSESSED</x:v>
      </x:c>
    </x:row>
    <x:row r="36">
      <x:c r="A36" s="55" t="str">
        <x:v>RLP-01</x:v>
      </x:c>
      <x:c r="B36" s="55" t="str">
        <x:v>Repository lifecycle and portfolio hygiene</x:v>
      </x:c>
      <x:c r="C36" s="55" t="str"/>
      <x:c r="D36" s="55" t="str">
        <x:v>Baseline</x:v>
      </x:c>
      <x:c r="E36" s="55" t="str">
        <x:v>Baseline, Elevated, Critical; all repositories, including archived repositories.</x:v>
      </x:c>
      <x:c r="F36" s="55" t="str">
        <x:v>The portfolio record MUST identify the authoritative repository, repository type, owning organization, lifecycle state, risk tier, deployable units or published outputs, visibility/data classification, and replacement or parent system where applicable.</x:v>
      </x:c>
      <x:c r="G36" s="55" t="str">
        <x:v>E2</x:v>
      </x:c>
      <x:c r="H36" s="51" t="str">
        <x:v>Unknown</x:v>
      </x:c>
      <x:c r="I36" s="55" t="n">
        <x:f>IF($A36="","",IF($H36="Met",1,IF($H36="Partially met",0.5,IF(OR($H36="Unmet",$H36="Unknown"),0,""))))</x:f>
        <x:v>0</x:v>
      </x:c>
      <x:c r="J36" s="51" t="str">
        <x:v>E0</x:v>
      </x:c>
      <x:c r="K36" s="55" t="n">
        <x:f>IF($A36="","",IF($J36="E4",4,IF($J36="E3",3,IF($J36="E2",2,IF($J36="E1",1,0)))))</x:f>
        <x:v>0</x:v>
      </x:c>
      <x:c r="L36" s="51" t="str">
        <x:v>Unknown</x:v>
      </x:c>
      <x:c r="M36" s="51" t="str"/>
      <x:c r="N36" s="51" t="str"/>
      <x:c r="O36" s="51" t="str"/>
      <x:c r="P36" s="51" t="str"/>
      <x:c r="Q36" s="55" t="n">
        <x:f>IF($A36="","",IF($D36="Baseline",1,IF($D36="Elevated",IF(OR('Profile'!$B$11="Elevated",'Profile'!$B$11="Critical"),1,0),IF($D36="Critical",IF('Profile'!$B$11="Critical",1,0),1))))</x:f>
        <x:v>1</x:v>
      </x:c>
      <x:c r="R36" s="55" t="n">
        <x:f>IF($A36="","",IF($Q36=0,0,IF($H36="N/A",0,IF($H36="Met",IF(AND($K36&gt;=VALUE(RIGHT($G36,1)),$L36="Yes"),1,0),IF($H36="Partially met",IF(AND($K36&gt;=1,$L36="Yes"),0.5,0),0)))))</x:f>
        <x:v>0</x:v>
      </x:c>
      <x:c r="S36" s="55" t="n">
        <x:f>IF($A36="","",IF($Q36=0,0,IF($H36="N/A",IF(AND($P36&lt;&gt;"",$O36&lt;&gt;"",IFERROR(VLOOKUP($O36,'Exceptions'!$A$5:$M$204,2,FALSE),"")="N/A determination",IFERROR(VLOOKUP($O36,'Exceptions'!$A$5:$M$204,13,FALSE),"")="Active",IFERROR(ISNUMBER(SEARCH($A36,IFERROR(VLOOKUP($O36,'Exceptions'!$A$5:$M$204,3,FALSE),""))),FALSE)),0,1),1)))</x:f>
        <x:v>1</x:v>
      </x:c>
      <x:c r="T36" s="55" t="str">
        <x:f>IF($A36="","",IF($C36="","",IF($H36="N/A",IF(AND($P36&lt;&gt;"",$O36&lt;&gt;"",IFERROR(VLOOKUP($O36,'Exceptions'!$A$5:$M$204,2,FALSE),"")="N/A determination",IFERROR(VLOOKUP($O36,'Exceptions'!$A$5:$M$204,13,FALSE),"")="Active",IFERROR(ISNUMBER(SEARCH($A36,IFERROR(VLOOKUP($O36,'Exceptions'!$A$5:$M$204,3,FALSE),""))),FALSE)),"N/A","FAIL"),IF(OR($H36="Unknown",$H36="",$K36=0,$L36&lt;&gt;"Yes"),"UNKNOWN",IF($H36="Met",IF($K36&gt;=VALUE(RIGHT($G36,1)),"PASS","UNKNOWN"),IF(OR($H36="Partially met",$H36="Unmet"),"FAIL","UNKNOWN"))))))</x:f>
      </x:c>
      <x:c r="U36" s="55" t="n">
        <x:f>IF($A36="","",IF($S36=0,0,IF(AND($K36&gt;=1,$L36="Yes"),1,0)))</x:f>
        <x:v>0</x:v>
      </x:c>
      <x:c r="V36" s="55" t="n">
        <x:f>IF($A36="","",IF(OR($S36=0,$H36="N/A",$L36&lt;&gt;"Yes"),0,$K36))</x:f>
        <x:v>0</x:v>
      </x:c>
      <x:c r="W36" s="55" t="str">
        <x:v>M-RLP-01 (portfolio classification completeness).</x:v>
      </x:c>
      <x:c r="X36" s="55" t="str">
        <x:v>Pass at 100%; Concern from 80% to below 100%; Fail below 80% or when authoritative repository, lifecycle, or tier is missing.</x:v>
      </x:c>
      <x:c r="Y36" s="55" t="str">
        <x:v>SRC-001, SRC-004, SRC-005 | https://baseline.openssf.org/versions/2026-02-19.html</x:v>
      </x:c>
      <x:c r="Z36" s="55" t="str">
        <x:v>Scored only in RLP; no standalone grade or assurance override.</x:v>
      </x:c>
      <x:c r="AA36" s="55" t="str">
        <x:v>Register the repository, classify it with the owner, enumerate outputs/units, and reconcile duplicate metadata.</x:v>
      </x:c>
      <x:c r="AB36" s="55" t="str">
        <x:f>IF($A36="","",IF(AND($Q36=1,$H36="N/A",NOT(AND($P36&lt;&gt;"",$O36&lt;&gt;"",IFERROR(VLOOKUP($O36,'Exceptions'!$A$5:$M$204,2,FALSE),"")="N/A determination",IFERROR(VLOOKUP($O36,'Exceptions'!$A$5:$M$204,13,FALSE),"")="Active",IFERROR(ISNUMBER(SEARCH($A36,IFERROR(VLOOKUP($O36,'Exceptions'!$A$5:$M$204,3,FALSE),""))),FALSE)))),"MISSING OR INVALID N/A DECISION",IF(AND($Q36=1,OR($H36="Partially met",$H36="Unmet"),OR($K36&lt;1,$L36&lt;&gt;"Yes")),"KNOWN RATING NEEDS FRESH E1",IF(AND($Q36=1,$H36="Met",OR($K36&lt;VALUE(RIGHT($G36,1)),$L36&lt;&gt;"Yes")),"EVIDENCE BELOW MINIMUM",IF(AND($Q36=1,OR($H36="",$H36="Unknown")),"UNASSESSED",IF(AND($H36="N/A",AND($P36&lt;&gt;"",$O36&lt;&gt;"",IFERROR(VLOOKUP($O36,'Exceptions'!$A$5:$M$204,2,FALSE),"")="N/A determination",IFERROR(VLOOKUP($O36,'Exceptions'!$A$5:$M$204,13,FALSE),"")="Active",IFERROR(ISNUMBER(SEARCH($A36,IFERROR(VLOOKUP($O36,'Exceptions'!$A$5:$M$204,3,FALSE),""))),FALSE))),"N/A APPROVED",IF($O36&lt;&gt;"","EXCEPTION REVIEW","OK")))))))</x:f>
        <x:v>UNASSESSED</x:v>
      </x:c>
    </x:row>
    <x:row r="37">
      <x:c r="A37" s="55" t="str">
        <x:v>RLP-02</x:v>
      </x:c>
      <x:c r="B37" s="55" t="str">
        <x:v>Repository lifecycle and portfolio hygiene</x:v>
      </x:c>
      <x:c r="C37" s="55" t="str"/>
      <x:c r="D37" s="55" t="str">
        <x:v>Baseline</x:v>
      </x:c>
      <x:c r="E37" s="55" t="str">
        <x:v>Baseline, Elevated, Critical; active repositories using work, release, environment, or maintenance refs.</x:v>
      </x:c>
      <x:c r="F37" s="55" t="str">
        <x:v>The repository MUST define ref-lifetime and EOL rules consistent with its methodology and SHOULD retire stale work refs while preserving required release/history evidence.</x:v>
      </x:c>
      <x:c r="G37" s="55" t="str">
        <x:v>E3</x:v>
      </x:c>
      <x:c r="H37" s="51" t="str">
        <x:v>Unknown</x:v>
      </x:c>
      <x:c r="I37" s="55" t="n">
        <x:f>IF($A37="","",IF($H37="Met",1,IF($H37="Partially met",0.5,IF(OR($H37="Unmet",$H37="Unknown"),0,""))))</x:f>
        <x:v>0</x:v>
      </x:c>
      <x:c r="J37" s="51" t="str">
        <x:v>E0</x:v>
      </x:c>
      <x:c r="K37" s="55" t="n">
        <x:f>IF($A37="","",IF($J37="E4",4,IF($J37="E3",3,IF($J37="E2",2,IF($J37="E1",1,0)))))</x:f>
        <x:v>0</x:v>
      </x:c>
      <x:c r="L37" s="51" t="str">
        <x:v>Unknown</x:v>
      </x:c>
      <x:c r="M37" s="51" t="str"/>
      <x:c r="N37" s="51" t="str"/>
      <x:c r="O37" s="51" t="str"/>
      <x:c r="P37" s="51" t="str"/>
      <x:c r="Q37" s="55" t="n">
        <x:f>IF($A37="","",IF($D37="Baseline",1,IF($D37="Elevated",IF(OR('Profile'!$B$11="Elevated",'Profile'!$B$11="Critical"),1,0),IF($D37="Critical",IF('Profile'!$B$11="Critical",1,0),1))))</x:f>
        <x:v>1</x:v>
      </x:c>
      <x:c r="R37" s="55" t="n">
        <x:f>IF($A37="","",IF($Q37=0,0,IF($H37="N/A",0,IF($H37="Met",IF(AND($K37&gt;=VALUE(RIGHT($G37,1)),$L37="Yes"),1,0),IF($H37="Partially met",IF(AND($K37&gt;=1,$L37="Yes"),0.5,0),0)))))</x:f>
        <x:v>0</x:v>
      </x:c>
      <x:c r="S37" s="55" t="n">
        <x:f>IF($A37="","",IF($Q37=0,0,IF($H37="N/A",IF(AND($P37&lt;&gt;"",$O37&lt;&gt;"",IFERROR(VLOOKUP($O37,'Exceptions'!$A$5:$M$204,2,FALSE),"")="N/A determination",IFERROR(VLOOKUP($O37,'Exceptions'!$A$5:$M$204,13,FALSE),"")="Active",IFERROR(ISNUMBER(SEARCH($A37,IFERROR(VLOOKUP($O37,'Exceptions'!$A$5:$M$204,3,FALSE),""))),FALSE)),0,1),1)))</x:f>
        <x:v>1</x:v>
      </x:c>
      <x:c r="T37" s="55" t="str">
        <x:f>IF($A37="","",IF($C37="","",IF($H37="N/A",IF(AND($P37&lt;&gt;"",$O37&lt;&gt;"",IFERROR(VLOOKUP($O37,'Exceptions'!$A$5:$M$204,2,FALSE),"")="N/A determination",IFERROR(VLOOKUP($O37,'Exceptions'!$A$5:$M$204,13,FALSE),"")="Active",IFERROR(ISNUMBER(SEARCH($A37,IFERROR(VLOOKUP($O37,'Exceptions'!$A$5:$M$204,3,FALSE),""))),FALSE)),"N/A","FAIL"),IF(OR($H37="Unknown",$H37="",$K37=0,$L37&lt;&gt;"Yes"),"UNKNOWN",IF($H37="Met",IF($K37&gt;=VALUE(RIGHT($G37,1)),"PASS","UNKNOWN"),IF(OR($H37="Partially met",$H37="Unmet"),"FAIL","UNKNOWN"))))))</x:f>
      </x:c>
      <x:c r="U37" s="55" t="n">
        <x:f>IF($A37="","",IF($S37=0,0,IF(AND($K37&gt;=1,$L37="Yes"),1,0)))</x:f>
        <x:v>0</x:v>
      </x:c>
      <x:c r="V37" s="55" t="n">
        <x:f>IF($A37="","",IF(OR($S37=0,$H37="N/A",$L37&lt;&gt;"Yes"),0,$K37))</x:f>
        <x:v>0</x:v>
      </x:c>
      <x:c r="W37" s="55" t="str">
        <x:v>M-RLP-02 (stale work-ref rate).</x:v>
      </x:c>
      <x:c r="X37" s="55" t="str">
        <x:v>Pass at no more than 5%; Concern above 5% through 15%; Fail above 15%. Profile SLOs control which refs are stale.</x:v>
      </x:c>
      <x:c r="Y37" s="55" t="str">
        <x:v>SRC-001, SRC-012, SRC-014, SRC-015, SRC-016, SRC-021 | https://docs.github.com/en/get-started/using-github/github-flow</x:v>
      </x:c>
      <x:c r="Z37" s="55" t="str">
        <x:v>Scored only in RLP; the result informs CGD-05 without duplicate points and has no standalone grade cap.</x:v>
      </x:c>
      <x:c r="AA37" s="55" t="str">
        <x:v>Classify refs, merge/close/delete abandoned work, document supported branches and EOL, and automate safe cleanup.</x:v>
      </x:c>
      <x:c r="AB37" s="55" t="str">
        <x:f>IF($A37="","",IF(AND($Q37=1,$H37="N/A",NOT(AND($P37&lt;&gt;"",$O37&lt;&gt;"",IFERROR(VLOOKUP($O37,'Exceptions'!$A$5:$M$204,2,FALSE),"")="N/A determination",IFERROR(VLOOKUP($O37,'Exceptions'!$A$5:$M$204,13,FALSE),"")="Active",IFERROR(ISNUMBER(SEARCH($A37,IFERROR(VLOOKUP($O37,'Exceptions'!$A$5:$M$204,3,FALSE),""))),FALSE)))),"MISSING OR INVALID N/A DECISION",IF(AND($Q37=1,OR($H37="Partially met",$H37="Unmet"),OR($K37&lt;1,$L37&lt;&gt;"Yes")),"KNOWN RATING NEEDS FRESH E1",IF(AND($Q37=1,$H37="Met",OR($K37&lt;VALUE(RIGHT($G37,1)),$L37&lt;&gt;"Yes")),"EVIDENCE BELOW MINIMUM",IF(AND($Q37=1,OR($H37="",$H37="Unknown")),"UNASSESSED",IF(AND($H37="N/A",AND($P37&lt;&gt;"",$O37&lt;&gt;"",IFERROR(VLOOKUP($O37,'Exceptions'!$A$5:$M$204,2,FALSE),"")="N/A determination",IFERROR(VLOOKUP($O37,'Exceptions'!$A$5:$M$204,13,FALSE),"")="Active",IFERROR(ISNUMBER(SEARCH($A37,IFERROR(VLOOKUP($O37,'Exceptions'!$A$5:$M$204,3,FALSE),""))),FALSE))),"N/A APPROVED",IF($O37&lt;&gt;"","EXCEPTION REVIEW","OK")))))))</x:f>
        <x:v>UNASSESSED</x:v>
      </x:c>
    </x:row>
    <x:row r="38">
      <x:c r="A38" s="55" t="str">
        <x:v>RLP-03</x:v>
      </x:c>
      <x:c r="B38" s="55" t="str">
        <x:v>Repository lifecycle and portfolio hygiene</x:v>
      </x:c>
      <x:c r="C38" s="55" t="str"/>
      <x:c r="D38" s="55" t="str">
        <x:v>Critical</x:v>
      </x:c>
      <x:c r="E38" s="55" t="str">
        <x:v>Repositories in deprecated, retired, or archived lifecycle states; active repositories are N/A.</x:v>
      </x:c>
      <x:c r="F38" s="55" t="str">
        <x:v>A non-active repository MUST state its lifecycle and date, replacement or migration path, last supported release, consumer impact, security/support end date, and preservation policy; write/deploy credentials and unintended automation MUST be disabled or removed.</x:v>
      </x:c>
      <x:c r="G38" s="55" t="str">
        <x:v>E3</x:v>
      </x:c>
      <x:c r="H38" s="51" t="str">
        <x:v>Unknown</x:v>
      </x:c>
      <x:c r="I38" s="55" t="n">
        <x:f>IF($A38="","",IF($H38="Met",1,IF($H38="Partially met",0.5,IF(OR($H38="Unmet",$H38="Unknown"),0,""))))</x:f>
        <x:v>0</x:v>
      </x:c>
      <x:c r="J38" s="51" t="str">
        <x:v>E0</x:v>
      </x:c>
      <x:c r="K38" s="55" t="n">
        <x:f>IF($A38="","",IF($J38="E4",4,IF($J38="E3",3,IF($J38="E2",2,IF($J38="E1",1,0)))))</x:f>
        <x:v>0</x:v>
      </x:c>
      <x:c r="L38" s="51" t="str">
        <x:v>Unknown</x:v>
      </x:c>
      <x:c r="M38" s="51" t="str"/>
      <x:c r="N38" s="51" t="str"/>
      <x:c r="O38" s="51" t="str"/>
      <x:c r="P38" s="51" t="str"/>
      <x:c r="Q38" s="55" t="n">
        <x:f>IF($A38="","",IF($D38="Baseline",1,IF($D38="Elevated",IF(OR('Profile'!$B$11="Elevated",'Profile'!$B$11="Critical"),1,0),IF($D38="Critical",IF('Profile'!$B$11="Critical",1,0),1))))</x:f>
        <x:v>0</x:v>
      </x:c>
      <x:c r="R38" s="55" t="n">
        <x:f>IF($A38="","",IF($Q38=0,0,IF($H38="N/A",0,IF($H38="Met",IF(AND($K38&gt;=VALUE(RIGHT($G38,1)),$L38="Yes"),1,0),IF($H38="Partially met",IF(AND($K38&gt;=1,$L38="Yes"),0.5,0),0)))))</x:f>
        <x:v>0</x:v>
      </x:c>
      <x:c r="S38" s="55" t="n">
        <x:f>IF($A38="","",IF($Q38=0,0,IF($H38="N/A",IF(AND($P38&lt;&gt;"",$O38&lt;&gt;"",IFERROR(VLOOKUP($O38,'Exceptions'!$A$5:$M$204,2,FALSE),"")="N/A determination",IFERROR(VLOOKUP($O38,'Exceptions'!$A$5:$M$204,13,FALSE),"")="Active",IFERROR(ISNUMBER(SEARCH($A38,IFERROR(VLOOKUP($O38,'Exceptions'!$A$5:$M$204,3,FALSE),""))),FALSE)),0,1),1)))</x:f>
        <x:v>0</x:v>
      </x:c>
      <x:c r="T38" s="55" t="str">
        <x:f>IF($A38="","",IF($C38="","",IF($H38="N/A",IF(AND($P38&lt;&gt;"",$O38&lt;&gt;"",IFERROR(VLOOKUP($O38,'Exceptions'!$A$5:$M$204,2,FALSE),"")="N/A determination",IFERROR(VLOOKUP($O38,'Exceptions'!$A$5:$M$204,13,FALSE),"")="Active",IFERROR(ISNUMBER(SEARCH($A38,IFERROR(VLOOKUP($O38,'Exceptions'!$A$5:$M$204,3,FALSE),""))),FALSE)),"N/A","FAIL"),IF(OR($H38="Unknown",$H38="",$K38=0,$L38&lt;&gt;"Yes"),"UNKNOWN",IF($H38="Met",IF($K38&gt;=VALUE(RIGHT($G38,1)),"PASS","UNKNOWN"),IF(OR($H38="Partially met",$H38="Unmet"),"FAIL","UNKNOWN"))))))</x:f>
      </x:c>
      <x:c r="U38" s="55" t="n">
        <x:f>IF($A38="","",IF($S38=0,0,IF(AND($K38&gt;=1,$L38="Yes"),1,0)))</x:f>
        <x:v>0</x:v>
      </x:c>
      <x:c r="V38" s="55" t="n">
        <x:f>IF($A38="","",IF(OR($S38=0,$H38="N/A",$L38&lt;&gt;"Yes"),0,$K38))</x:f>
        <x:v>0</x:v>
      </x:c>
      <x:c r="W38" s="55" t="str">
        <x:v>M-RLP-03 (retirement-control completeness).</x:v>
      </x:c>
      <x:c r="X38" s="55" t="str">
        <x:v>Pass at 100%; Concern from 80% to below 100% with write/deploy paths already disabled; Fail below 80% or any active production credential/automation without documented purpose.</x:v>
      </x:c>
      <x:c r="Y38" s="55" t="str">
        <x:v>SRC-001, SRC-004, SRC-006, SRC-018 | https://baseline.openssf.org/versions/2026-02-19.html</x:v>
      </x:c>
      <x:c r="Z38" s="55" t="str">
        <x:v>Scored only in RLP; archived repositories receive an archival-health result while G-01, G-03, and G-04 remain applicable under their archive-specific contracts. G-02 follows current-output applicability; gate evaluation adds no RLP points.</x:v>
      </x:c>
      <x:c r="AA38" s="55" t="str">
        <x:v>Publish the status and migration path, inventory consumers, revoke credentials, disable jobs/webhooks, protect retained evidence, and archive the repository.</x:v>
      </x:c>
      <x:c r="AB38" s="55" t="str">
        <x:f>IF($A38="","",IF(AND($Q38=1,$H38="N/A",NOT(AND($P38&lt;&gt;"",$O38&lt;&gt;"",IFERROR(VLOOKUP($O38,'Exceptions'!$A$5:$M$204,2,FALSE),"")="N/A determination",IFERROR(VLOOKUP($O38,'Exceptions'!$A$5:$M$204,13,FALSE),"")="Active",IFERROR(ISNUMBER(SEARCH($A38,IFERROR(VLOOKUP($O38,'Exceptions'!$A$5:$M$204,3,FALSE),""))),FALSE)))),"MISSING OR INVALID N/A DECISION",IF(AND($Q38=1,OR($H38="Partially met",$H38="Unmet"),OR($K38&lt;1,$L38&lt;&gt;"Yes")),"KNOWN RATING NEEDS FRESH E1",IF(AND($Q38=1,$H38="Met",OR($K38&lt;VALUE(RIGHT($G38,1)),$L38&lt;&gt;"Yes")),"EVIDENCE BELOW MINIMUM",IF(AND($Q38=1,OR($H38="",$H38="Unknown")),"UNASSESSED",IF(AND($H38="N/A",AND($P38&lt;&gt;"",$O38&lt;&gt;"",IFERROR(VLOOKUP($O38,'Exceptions'!$A$5:$M$204,2,FALSE),"")="N/A determination",IFERROR(VLOOKUP($O38,'Exceptions'!$A$5:$M$204,13,FALSE),"")="Active",IFERROR(ISNUMBER(SEARCH($A38,IFERROR(VLOOKUP($O38,'Exceptions'!$A$5:$M$204,3,FALSE),""))),FALSE))),"N/A APPROVED",IF($O38&lt;&gt;"","EXCEPTION REVIEW","OK")))))))</x:f>
        <x:v>OK</x:v>
      </x:c>
    </x:row>
    <x:row r="39">
      <x:c r="A39" s="55" t="str">
        <x:v>RLP-04</x:v>
      </x:c>
      <x:c r="B39" s="55" t="str">
        <x:v>Repository lifecycle and portfolio hygiene</x:v>
      </x:c>
      <x:c r="C39" s="55" t="str"/>
      <x:c r="D39" s="55" t="str">
        <x:v>Baseline</x:v>
      </x:c>
      <x:c r="E39" s="55" t="str">
        <x:v>Baseline, Elevated, Critical; all portfolio-managed repositories.</x:v>
      </x:c>
      <x:c r="F39" s="55" t="str">
        <x:v>Each codebase or deployable unit MUST have one declared authoritative repository, and mirrors, forks, templates, generated copies, and successors MUST be labeled so they cannot be mistaken for an independent production source.</x:v>
      </x:c>
      <x:c r="G39" s="55" t="str">
        <x:v>E3</x:v>
      </x:c>
      <x:c r="H39" s="51" t="str">
        <x:v>Unknown</x:v>
      </x:c>
      <x:c r="I39" s="55" t="n">
        <x:f>IF($A39="","",IF($H39="Met",1,IF($H39="Partially met",0.5,IF(OR($H39="Unmet",$H39="Unknown"),0,""))))</x:f>
        <x:v>0</x:v>
      </x:c>
      <x:c r="J39" s="51" t="str">
        <x:v>E0</x:v>
      </x:c>
      <x:c r="K39" s="55" t="n">
        <x:f>IF($A39="","",IF($J39="E4",4,IF($J39="E3",3,IF($J39="E2",2,IF($J39="E1",1,0)))))</x:f>
        <x:v>0</x:v>
      </x:c>
      <x:c r="L39" s="51" t="str">
        <x:v>Unknown</x:v>
      </x:c>
      <x:c r="M39" s="51" t="str"/>
      <x:c r="N39" s="51" t="str"/>
      <x:c r="O39" s="51" t="str"/>
      <x:c r="P39" s="51" t="str"/>
      <x:c r="Q39" s="55" t="n">
        <x:f>IF($A39="","",IF($D39="Baseline",1,IF($D39="Elevated",IF(OR('Profile'!$B$11="Elevated",'Profile'!$B$11="Critical"),1,0),IF($D39="Critical",IF('Profile'!$B$11="Critical",1,0),1))))</x:f>
        <x:v>1</x:v>
      </x:c>
      <x:c r="R39" s="55" t="n">
        <x:f>IF($A39="","",IF($Q39=0,0,IF($H39="N/A",0,IF($H39="Met",IF(AND($K39&gt;=VALUE(RIGHT($G39,1)),$L39="Yes"),1,0),IF($H39="Partially met",IF(AND($K39&gt;=1,$L39="Yes"),0.5,0),0)))))</x:f>
        <x:v>0</x:v>
      </x:c>
      <x:c r="S39" s="55" t="n">
        <x:f>IF($A39="","",IF($Q39=0,0,IF($H39="N/A",IF(AND($P39&lt;&gt;"",$O39&lt;&gt;"",IFERROR(VLOOKUP($O39,'Exceptions'!$A$5:$M$204,2,FALSE),"")="N/A determination",IFERROR(VLOOKUP($O39,'Exceptions'!$A$5:$M$204,13,FALSE),"")="Active",IFERROR(ISNUMBER(SEARCH($A39,IFERROR(VLOOKUP($O39,'Exceptions'!$A$5:$M$204,3,FALSE),""))),FALSE)),0,1),1)))</x:f>
        <x:v>1</x:v>
      </x:c>
      <x:c r="T39" s="55" t="str">
        <x:f>IF($A39="","",IF($C39="","",IF($H39="N/A",IF(AND($P39&lt;&gt;"",$O39&lt;&gt;"",IFERROR(VLOOKUP($O39,'Exceptions'!$A$5:$M$204,2,FALSE),"")="N/A determination",IFERROR(VLOOKUP($O39,'Exceptions'!$A$5:$M$204,13,FALSE),"")="Active",IFERROR(ISNUMBER(SEARCH($A39,IFERROR(VLOOKUP($O39,'Exceptions'!$A$5:$M$204,3,FALSE),""))),FALSE)),"N/A","FAIL"),IF(OR($H39="Unknown",$H39="",$K39=0,$L39&lt;&gt;"Yes"),"UNKNOWN",IF($H39="Met",IF($K39&gt;=VALUE(RIGHT($G39,1)),"PASS","UNKNOWN"),IF(OR($H39="Partially met",$H39="Unmet"),"FAIL","UNKNOWN"))))))</x:f>
      </x:c>
      <x:c r="U39" s="55" t="n">
        <x:f>IF($A39="","",IF($S39=0,0,IF(AND($K39&gt;=1,$L39="Yes"),1,0)))</x:f>
        <x:v>0</x:v>
      </x:c>
      <x:c r="V39" s="55" t="n">
        <x:f>IF($A39="","",IF(OR($S39=0,$H39="N/A",$L39&lt;&gt;"Yes"),0,$K39))</x:f>
        <x:v>0</x:v>
      </x:c>
      <x:c r="W39" s="55" t="str">
        <x:v>M-RLP-04 (authoritative-source uniqueness).</x:v>
      </x:c>
      <x:c r="X39" s="55" t="str">
        <x:v>Pass when authority uniqueness and production-source assertions pass and relationship-field coverage is 100%; Concern when both critical assertions pass and relationship-field coverage is at least 80% but below 100%; Fail when relationship coverage is below 80%, an active authoritative claim conflicts, or production can source an undeclared copy.</x:v>
      </x:c>
      <x:c r="Y39" s="55" t="str">
        <x:v>SRC-001, SRC-005, SRC-017 | https://slsa.dev/spec/v1.2/</x:v>
      </x:c>
      <x:c r="Z39" s="55" t="str">
        <x:v>Scored only in RLP; a conflicting production source may inform SPI-02 or SPI-04, which are evaluated under their own controls without duplicating this control's points.</x:v>
      </x:c>
      <x:c r="AA39" s="55" t="str">
        <x:v>Select and register the canonical source, label or archive copies, restrict deployment origins, and document multi-repo relationships.</x:v>
      </x:c>
      <x:c r="AB39" s="55" t="str">
        <x:f>IF($A39="","",IF(AND($Q39=1,$H39="N/A",NOT(AND($P39&lt;&gt;"",$O39&lt;&gt;"",IFERROR(VLOOKUP($O39,'Exceptions'!$A$5:$M$204,2,FALSE),"")="N/A determination",IFERROR(VLOOKUP($O39,'Exceptions'!$A$5:$M$204,13,FALSE),"")="Active",IFERROR(ISNUMBER(SEARCH($A39,IFERROR(VLOOKUP($O39,'Exceptions'!$A$5:$M$204,3,FALSE),""))),FALSE)))),"MISSING OR INVALID N/A DECISION",IF(AND($Q39=1,OR($H39="Partially met",$H39="Unmet"),OR($K39&lt;1,$L39&lt;&gt;"Yes")),"KNOWN RATING NEEDS FRESH E1",IF(AND($Q39=1,$H39="Met",OR($K39&lt;VALUE(RIGHT($G39,1)),$L39&lt;&gt;"Yes")),"EVIDENCE BELOW MINIMUM",IF(AND($Q39=1,OR($H39="",$H39="Unknown")),"UNASSESSED",IF(AND($H39="N/A",AND($P39&lt;&gt;"",$O39&lt;&gt;"",IFERROR(VLOOKUP($O39,'Exceptions'!$A$5:$M$204,2,FALSE),"")="N/A determination",IFERROR(VLOOKUP($O39,'Exceptions'!$A$5:$M$204,13,FALSE),"")="Active",IFERROR(ISNUMBER(SEARCH($A39,IFERROR(VLOOKUP($O39,'Exceptions'!$A$5:$M$204,3,FALSE),""))),FALSE))),"N/A APPROVED",IF($O39&lt;&gt;"","EXCEPTION REVIEW","OK")))))))</x:f>
        <x:v>UNASSESSED</x:v>
      </x:c>
    </x:row>
    <x:row r="40">
      <x:c r="H40" s="8"/>
      <x:c r="I40" t="str">
        <x:f>IF($A40="","",IF($H40="Met",1,IF($H40="Partially met",0.5,IF(OR($H40="Unmet",$H40="Unknown"),0,""))))</x:f>
      </x:c>
      <x:c r="J40" s="8"/>
      <x:c r="K40" t="str">
        <x:f>IF($A40="","",IF($J40="E4",4,IF($J40="E3",3,IF($J40="E2",2,IF($J40="E1",1,0)))))</x:f>
      </x:c>
      <x:c r="L40" s="8"/>
      <x:c r="M40" s="8"/>
      <x:c r="N40" s="8"/>
      <x:c r="O40" s="8"/>
      <x:c r="P40" s="8"/>
      <x:c r="Q40" t="str">
        <x:f>IF($A40="","",IF($D40="Baseline",1,IF($D40="Elevated",IF(OR('Profile'!$B$11="Elevated",'Profile'!$B$11="Critical"),1,0),IF($D40="Critical",IF('Profile'!$B$11="Critical",1,0),1))))</x:f>
      </x:c>
      <x:c r="R40" t="str">
        <x:f>IF($A40="","",IF($Q40=0,0,IF($H40="N/A",0,IF($H40="Met",IF(AND($K40&gt;=VALUE(RIGHT($G40,1)),$L40="Yes"),1,0),IF($H40="Partially met",IF(AND($K40&gt;=1,$L40="Yes"),0.5,0),0)))))</x:f>
      </x:c>
      <x:c r="S40" t="str">
        <x:f>IF($A40="","",IF($Q40=0,0,IF($H40="N/A",IF(AND($P40&lt;&gt;"",$O40&lt;&gt;"",IFERROR(VLOOKUP($O40,'Exceptions'!$A$5:$M$204,2,FALSE),"")="N/A determination",IFERROR(VLOOKUP($O40,'Exceptions'!$A$5:$M$204,13,FALSE),"")="Active",IFERROR(ISNUMBER(SEARCH($A40,IFERROR(VLOOKUP($O40,'Exceptions'!$A$5:$M$204,3,FALSE),""))),FALSE)),0,1),1)))</x:f>
      </x:c>
      <x:c r="T40" t="str">
        <x:f>IF($A40="","",IF($C40="","",IF($H40="N/A",IF(AND($P40&lt;&gt;"",$O40&lt;&gt;"",IFERROR(VLOOKUP($O40,'Exceptions'!$A$5:$M$204,2,FALSE),"")="N/A determination",IFERROR(VLOOKUP($O40,'Exceptions'!$A$5:$M$204,13,FALSE),"")="Active",IFERROR(ISNUMBER(SEARCH($A40,IFERROR(VLOOKUP($O40,'Exceptions'!$A$5:$M$204,3,FALSE),""))),FALSE)),"N/A","FAIL"),IF(OR($H40="Unknown",$H40="",$K40=0,$L40&lt;&gt;"Yes"),"UNKNOWN",IF($H40="Met",IF($K40&gt;=VALUE(RIGHT($G40,1)),"PASS","UNKNOWN"),IF(OR($H40="Partially met",$H40="Unmet"),"FAIL","UNKNOWN"))))))</x:f>
      </x:c>
      <x:c r="U40" t="str">
        <x:f>IF($A40="","",IF($S40=0,0,IF(AND($K40&gt;=1,$L40="Yes"),1,0)))</x:f>
      </x:c>
      <x:c r="V40" t="str">
        <x:f>IF($A40="","",IF(OR($S40=0,$H40="N/A",$L40&lt;&gt;"Yes"),0,$K40))</x:f>
      </x:c>
      <x:c r="AB40" t="str">
        <x:f>IF($A40="","",IF(AND($Q40=1,$H40="N/A",NOT(AND($P40&lt;&gt;"",$O40&lt;&gt;"",IFERROR(VLOOKUP($O40,'Exceptions'!$A$5:$M$204,2,FALSE),"")="N/A determination",IFERROR(VLOOKUP($O40,'Exceptions'!$A$5:$M$204,13,FALSE),"")="Active",IFERROR(ISNUMBER(SEARCH($A40,IFERROR(VLOOKUP($O40,'Exceptions'!$A$5:$M$204,3,FALSE),""))),FALSE)))),"MISSING OR INVALID N/A DECISION",IF(AND($Q40=1,OR($H40="Partially met",$H40="Unmet"),OR($K40&lt;1,$L40&lt;&gt;"Yes")),"KNOWN RATING NEEDS FRESH E1",IF(AND($Q40=1,$H40="Met",OR($K40&lt;VALUE(RIGHT($G40,1)),$L40&lt;&gt;"Yes")),"EVIDENCE BELOW MINIMUM",IF(AND($Q40=1,OR($H40="",$H40="Unknown")),"UNASSESSED",IF(AND($H40="N/A",AND($P40&lt;&gt;"",$O40&lt;&gt;"",IFERROR(VLOOKUP($O40,'Exceptions'!$A$5:$M$204,2,FALSE),"")="N/A determination",IFERROR(VLOOKUP($O40,'Exceptions'!$A$5:$M$204,13,FALSE),"")="Active",IFERROR(ISNUMBER(SEARCH($A40,IFERROR(VLOOKUP($O40,'Exceptions'!$A$5:$M$204,3,FALSE),""))),FALSE))),"N/A APPROVED",IF($O40&lt;&gt;"","EXCEPTION REVIEW","OK")))))))</x:f>
      </x:c>
    </x:row>
    <x:row r="41">
      <x:c r="H41" s="8"/>
      <x:c r="I41" t="str">
        <x:f>IF($A41="","",IF($H41="Met",1,IF($H41="Partially met",0.5,IF(OR($H41="Unmet",$H41="Unknown"),0,""))))</x:f>
      </x:c>
      <x:c r="J41" s="8"/>
      <x:c r="K41" t="str">
        <x:f>IF($A41="","",IF($J41="E4",4,IF($J41="E3",3,IF($J41="E2",2,IF($J41="E1",1,0)))))</x:f>
      </x:c>
      <x:c r="L41" s="8"/>
      <x:c r="M41" s="8"/>
      <x:c r="N41" s="8"/>
      <x:c r="O41" s="8"/>
      <x:c r="P41" s="8"/>
      <x:c r="Q41" t="str">
        <x:f>IF($A41="","",IF($D41="Baseline",1,IF($D41="Elevated",IF(OR('Profile'!$B$11="Elevated",'Profile'!$B$11="Critical"),1,0),IF($D41="Critical",IF('Profile'!$B$11="Critical",1,0),1))))</x:f>
      </x:c>
      <x:c r="R41" t="str">
        <x:f>IF($A41="","",IF($Q41=0,0,IF($H41="N/A",0,IF($H41="Met",IF(AND($K41&gt;=VALUE(RIGHT($G41,1)),$L41="Yes"),1,0),IF($H41="Partially met",IF(AND($K41&gt;=1,$L41="Yes"),0.5,0),0)))))</x:f>
      </x:c>
      <x:c r="S41" t="str">
        <x:f>IF($A41="","",IF($Q41=0,0,IF($H41="N/A",IF(AND($P41&lt;&gt;"",$O41&lt;&gt;"",IFERROR(VLOOKUP($O41,'Exceptions'!$A$5:$M$204,2,FALSE),"")="N/A determination",IFERROR(VLOOKUP($O41,'Exceptions'!$A$5:$M$204,13,FALSE),"")="Active",IFERROR(ISNUMBER(SEARCH($A41,IFERROR(VLOOKUP($O41,'Exceptions'!$A$5:$M$204,3,FALSE),""))),FALSE)),0,1),1)))</x:f>
      </x:c>
      <x:c r="T41" t="str">
        <x:f>IF($A41="","",IF($C41="","",IF($H41="N/A",IF(AND($P41&lt;&gt;"",$O41&lt;&gt;"",IFERROR(VLOOKUP($O41,'Exceptions'!$A$5:$M$204,2,FALSE),"")="N/A determination",IFERROR(VLOOKUP($O41,'Exceptions'!$A$5:$M$204,13,FALSE),"")="Active",IFERROR(ISNUMBER(SEARCH($A41,IFERROR(VLOOKUP($O41,'Exceptions'!$A$5:$M$204,3,FALSE),""))),FALSE)),"N/A","FAIL"),IF(OR($H41="Unknown",$H41="",$K41=0,$L41&lt;&gt;"Yes"),"UNKNOWN",IF($H41="Met",IF($K41&gt;=VALUE(RIGHT($G41,1)),"PASS","UNKNOWN"),IF(OR($H41="Partially met",$H41="Unmet"),"FAIL","UNKNOWN"))))))</x:f>
      </x:c>
      <x:c r="U41" t="str">
        <x:f>IF($A41="","",IF($S41=0,0,IF(AND($K41&gt;=1,$L41="Yes"),1,0)))</x:f>
      </x:c>
      <x:c r="V41" t="str">
        <x:f>IF($A41="","",IF(OR($S41=0,$H41="N/A",$L41&lt;&gt;"Yes"),0,$K41))</x:f>
      </x:c>
      <x:c r="AB41" t="str">
        <x:f>IF($A41="","",IF(AND($Q41=1,$H41="N/A",NOT(AND($P41&lt;&gt;"",$O41&lt;&gt;"",IFERROR(VLOOKUP($O41,'Exceptions'!$A$5:$M$204,2,FALSE),"")="N/A determination",IFERROR(VLOOKUP($O41,'Exceptions'!$A$5:$M$204,13,FALSE),"")="Active",IFERROR(ISNUMBER(SEARCH($A41,IFERROR(VLOOKUP($O41,'Exceptions'!$A$5:$M$204,3,FALSE),""))),FALSE)))),"MISSING OR INVALID N/A DECISION",IF(AND($Q41=1,OR($H41="Partially met",$H41="Unmet"),OR($K41&lt;1,$L41&lt;&gt;"Yes")),"KNOWN RATING NEEDS FRESH E1",IF(AND($Q41=1,$H41="Met",OR($K41&lt;VALUE(RIGHT($G41,1)),$L41&lt;&gt;"Yes")),"EVIDENCE BELOW MINIMUM",IF(AND($Q41=1,OR($H41="",$H41="Unknown")),"UNASSESSED",IF(AND($H41="N/A",AND($P41&lt;&gt;"",$O41&lt;&gt;"",IFERROR(VLOOKUP($O41,'Exceptions'!$A$5:$M$204,2,FALSE),"")="N/A determination",IFERROR(VLOOKUP($O41,'Exceptions'!$A$5:$M$204,13,FALSE),"")="Active",IFERROR(ISNUMBER(SEARCH($A41,IFERROR(VLOOKUP($O41,'Exceptions'!$A$5:$M$204,3,FALSE),""))),FALSE))),"N/A APPROVED",IF($O41&lt;&gt;"","EXCEPTION REVIEW","OK")))))))</x:f>
      </x:c>
    </x:row>
    <x:row r="42">
      <x:c r="H42" s="8"/>
      <x:c r="I42" t="str">
        <x:f>IF($A42="","",IF($H42="Met",1,IF($H42="Partially met",0.5,IF(OR($H42="Unmet",$H42="Unknown"),0,""))))</x:f>
      </x:c>
      <x:c r="J42" s="8"/>
      <x:c r="K42" t="str">
        <x:f>IF($A42="","",IF($J42="E4",4,IF($J42="E3",3,IF($J42="E2",2,IF($J42="E1",1,0)))))</x:f>
      </x:c>
      <x:c r="L42" s="8"/>
      <x:c r="M42" s="8"/>
      <x:c r="N42" s="8"/>
      <x:c r="O42" s="8"/>
      <x:c r="P42" s="8"/>
      <x:c r="Q42" t="str">
        <x:f>IF($A42="","",IF($D42="Baseline",1,IF($D42="Elevated",IF(OR('Profile'!$B$11="Elevated",'Profile'!$B$11="Critical"),1,0),IF($D42="Critical",IF('Profile'!$B$11="Critical",1,0),1))))</x:f>
      </x:c>
      <x:c r="R42" t="str">
        <x:f>IF($A42="","",IF($Q42=0,0,IF($H42="N/A",0,IF($H42="Met",IF(AND($K42&gt;=VALUE(RIGHT($G42,1)),$L42="Yes"),1,0),IF($H42="Partially met",IF(AND($K42&gt;=1,$L42="Yes"),0.5,0),0)))))</x:f>
      </x:c>
      <x:c r="S42" t="str">
        <x:f>IF($A42="","",IF($Q42=0,0,IF($H42="N/A",IF(AND($P42&lt;&gt;"",$O42&lt;&gt;"",IFERROR(VLOOKUP($O42,'Exceptions'!$A$5:$M$204,2,FALSE),"")="N/A determination",IFERROR(VLOOKUP($O42,'Exceptions'!$A$5:$M$204,13,FALSE),"")="Active",IFERROR(ISNUMBER(SEARCH($A42,IFERROR(VLOOKUP($O42,'Exceptions'!$A$5:$M$204,3,FALSE),""))),FALSE)),0,1),1)))</x:f>
      </x:c>
      <x:c r="T42" t="str">
        <x:f>IF($A42="","",IF($C42="","",IF($H42="N/A",IF(AND($P42&lt;&gt;"",$O42&lt;&gt;"",IFERROR(VLOOKUP($O42,'Exceptions'!$A$5:$M$204,2,FALSE),"")="N/A determination",IFERROR(VLOOKUP($O42,'Exceptions'!$A$5:$M$204,13,FALSE),"")="Active",IFERROR(ISNUMBER(SEARCH($A42,IFERROR(VLOOKUP($O42,'Exceptions'!$A$5:$M$204,3,FALSE),""))),FALSE)),"N/A","FAIL"),IF(OR($H42="Unknown",$H42="",$K42=0,$L42&lt;&gt;"Yes"),"UNKNOWN",IF($H42="Met",IF($K42&gt;=VALUE(RIGHT($G42,1)),"PASS","UNKNOWN"),IF(OR($H42="Partially met",$H42="Unmet"),"FAIL","UNKNOWN"))))))</x:f>
      </x:c>
      <x:c r="U42" t="str">
        <x:f>IF($A42="","",IF($S42=0,0,IF(AND($K42&gt;=1,$L42="Yes"),1,0)))</x:f>
      </x:c>
      <x:c r="V42" t="str">
        <x:f>IF($A42="","",IF(OR($S42=0,$H42="N/A",$L42&lt;&gt;"Yes"),0,$K42))</x:f>
      </x:c>
      <x:c r="AB42" t="str">
        <x:f>IF($A42="","",IF(AND($Q42=1,$H42="N/A",NOT(AND($P42&lt;&gt;"",$O42&lt;&gt;"",IFERROR(VLOOKUP($O42,'Exceptions'!$A$5:$M$204,2,FALSE),"")="N/A determination",IFERROR(VLOOKUP($O42,'Exceptions'!$A$5:$M$204,13,FALSE),"")="Active",IFERROR(ISNUMBER(SEARCH($A42,IFERROR(VLOOKUP($O42,'Exceptions'!$A$5:$M$204,3,FALSE),""))),FALSE)))),"MISSING OR INVALID N/A DECISION",IF(AND($Q42=1,OR($H42="Partially met",$H42="Unmet"),OR($K42&lt;1,$L42&lt;&gt;"Yes")),"KNOWN RATING NEEDS FRESH E1",IF(AND($Q42=1,$H42="Met",OR($K42&lt;VALUE(RIGHT($G42,1)),$L42&lt;&gt;"Yes")),"EVIDENCE BELOW MINIMUM",IF(AND($Q42=1,OR($H42="",$H42="Unknown")),"UNASSESSED",IF(AND($H42="N/A",AND($P42&lt;&gt;"",$O42&lt;&gt;"",IFERROR(VLOOKUP($O42,'Exceptions'!$A$5:$M$204,2,FALSE),"")="N/A determination",IFERROR(VLOOKUP($O42,'Exceptions'!$A$5:$M$204,13,FALSE),"")="Active",IFERROR(ISNUMBER(SEARCH($A42,IFERROR(VLOOKUP($O42,'Exceptions'!$A$5:$M$204,3,FALSE),""))),FALSE))),"N/A APPROVED",IF($O42&lt;&gt;"","EXCEPTION REVIEW","OK")))))))</x:f>
      </x:c>
    </x:row>
    <x:row r="43">
      <x:c r="H43" s="8"/>
      <x:c r="I43" t="str">
        <x:f>IF($A43="","",IF($H43="Met",1,IF($H43="Partially met",0.5,IF(OR($H43="Unmet",$H43="Unknown"),0,""))))</x:f>
      </x:c>
      <x:c r="J43" s="8"/>
      <x:c r="K43" t="str">
        <x:f>IF($A43="","",IF($J43="E4",4,IF($J43="E3",3,IF($J43="E2",2,IF($J43="E1",1,0)))))</x:f>
      </x:c>
      <x:c r="L43" s="8"/>
      <x:c r="M43" s="8"/>
      <x:c r="N43" s="8"/>
      <x:c r="O43" s="8"/>
      <x:c r="P43" s="8"/>
      <x:c r="Q43" t="str">
        <x:f>IF($A43="","",IF($D43="Baseline",1,IF($D43="Elevated",IF(OR('Profile'!$B$11="Elevated",'Profile'!$B$11="Critical"),1,0),IF($D43="Critical",IF('Profile'!$B$11="Critical",1,0),1))))</x:f>
      </x:c>
      <x:c r="R43" t="str">
        <x:f>IF($A43="","",IF($Q43=0,0,IF($H43="N/A",0,IF($H43="Met",IF(AND($K43&gt;=VALUE(RIGHT($G43,1)),$L43="Yes"),1,0),IF($H43="Partially met",IF(AND($K43&gt;=1,$L43="Yes"),0.5,0),0)))))</x:f>
      </x:c>
      <x:c r="S43" t="str">
        <x:f>IF($A43="","",IF($Q43=0,0,IF($H43="N/A",IF(AND($P43&lt;&gt;"",$O43&lt;&gt;"",IFERROR(VLOOKUP($O43,'Exceptions'!$A$5:$M$204,2,FALSE),"")="N/A determination",IFERROR(VLOOKUP($O43,'Exceptions'!$A$5:$M$204,13,FALSE),"")="Active",IFERROR(ISNUMBER(SEARCH($A43,IFERROR(VLOOKUP($O43,'Exceptions'!$A$5:$M$204,3,FALSE),""))),FALSE)),0,1),1)))</x:f>
      </x:c>
      <x:c r="T43" t="str">
        <x:f>IF($A43="","",IF($C43="","",IF($H43="N/A",IF(AND($P43&lt;&gt;"",$O43&lt;&gt;"",IFERROR(VLOOKUP($O43,'Exceptions'!$A$5:$M$204,2,FALSE),"")="N/A determination",IFERROR(VLOOKUP($O43,'Exceptions'!$A$5:$M$204,13,FALSE),"")="Active",IFERROR(ISNUMBER(SEARCH($A43,IFERROR(VLOOKUP($O43,'Exceptions'!$A$5:$M$204,3,FALSE),""))),FALSE)),"N/A","FAIL"),IF(OR($H43="Unknown",$H43="",$K43=0,$L43&lt;&gt;"Yes"),"UNKNOWN",IF($H43="Met",IF($K43&gt;=VALUE(RIGHT($G43,1)),"PASS","UNKNOWN"),IF(OR($H43="Partially met",$H43="Unmet"),"FAIL","UNKNOWN"))))))</x:f>
      </x:c>
      <x:c r="U43" t="str">
        <x:f>IF($A43="","",IF($S43=0,0,IF(AND($K43&gt;=1,$L43="Yes"),1,0)))</x:f>
      </x:c>
      <x:c r="V43" t="str">
        <x:f>IF($A43="","",IF(OR($S43=0,$H43="N/A",$L43&lt;&gt;"Yes"),0,$K43))</x:f>
      </x:c>
      <x:c r="AB43" t="str">
        <x:f>IF($A43="","",IF(AND($Q43=1,$H43="N/A",NOT(AND($P43&lt;&gt;"",$O43&lt;&gt;"",IFERROR(VLOOKUP($O43,'Exceptions'!$A$5:$M$204,2,FALSE),"")="N/A determination",IFERROR(VLOOKUP($O43,'Exceptions'!$A$5:$M$204,13,FALSE),"")="Active",IFERROR(ISNUMBER(SEARCH($A43,IFERROR(VLOOKUP($O43,'Exceptions'!$A$5:$M$204,3,FALSE),""))),FALSE)))),"MISSING OR INVALID N/A DECISION",IF(AND($Q43=1,OR($H43="Partially met",$H43="Unmet"),OR($K43&lt;1,$L43&lt;&gt;"Yes")),"KNOWN RATING NEEDS FRESH E1",IF(AND($Q43=1,$H43="Met",OR($K43&lt;VALUE(RIGHT($G43,1)),$L43&lt;&gt;"Yes")),"EVIDENCE BELOW MINIMUM",IF(AND($Q43=1,OR($H43="",$H43="Unknown")),"UNASSESSED",IF(AND($H43="N/A",AND($P43&lt;&gt;"",$O43&lt;&gt;"",IFERROR(VLOOKUP($O43,'Exceptions'!$A$5:$M$204,2,FALSE),"")="N/A determination",IFERROR(VLOOKUP($O43,'Exceptions'!$A$5:$M$204,13,FALSE),"")="Active",IFERROR(ISNUMBER(SEARCH($A43,IFERROR(VLOOKUP($O43,'Exceptions'!$A$5:$M$204,3,FALSE),""))),FALSE))),"N/A APPROVED",IF($O43&lt;&gt;"","EXCEPTION REVIEW","OK")))))))</x:f>
      </x:c>
    </x:row>
    <x:row r="44">
      <x:c r="H44" s="8"/>
      <x:c r="I44" t="str">
        <x:f>IF($A44="","",IF($H44="Met",1,IF($H44="Partially met",0.5,IF(OR($H44="Unmet",$H44="Unknown"),0,""))))</x:f>
      </x:c>
      <x:c r="J44" s="8"/>
      <x:c r="K44" t="str">
        <x:f>IF($A44="","",IF($J44="E4",4,IF($J44="E3",3,IF($J44="E2",2,IF($J44="E1",1,0)))))</x:f>
      </x:c>
      <x:c r="L44" s="8"/>
      <x:c r="M44" s="8"/>
      <x:c r="N44" s="8"/>
      <x:c r="O44" s="8"/>
      <x:c r="P44" s="8"/>
      <x:c r="Q44" t="str">
        <x:f>IF($A44="","",IF($D44="Baseline",1,IF($D44="Elevated",IF(OR('Profile'!$B$11="Elevated",'Profile'!$B$11="Critical"),1,0),IF($D44="Critical",IF('Profile'!$B$11="Critical",1,0),1))))</x:f>
      </x:c>
      <x:c r="R44" t="str">
        <x:f>IF($A44="","",IF($Q44=0,0,IF($H44="N/A",0,IF($H44="Met",IF(AND($K44&gt;=VALUE(RIGHT($G44,1)),$L44="Yes"),1,0),IF($H44="Partially met",IF(AND($K44&gt;=1,$L44="Yes"),0.5,0),0)))))</x:f>
      </x:c>
      <x:c r="S44" t="str">
        <x:f>IF($A44="","",IF($Q44=0,0,IF($H44="N/A",IF(AND($P44&lt;&gt;"",$O44&lt;&gt;"",IFERROR(VLOOKUP($O44,'Exceptions'!$A$5:$M$204,2,FALSE),"")="N/A determination",IFERROR(VLOOKUP($O44,'Exceptions'!$A$5:$M$204,13,FALSE),"")="Active",IFERROR(ISNUMBER(SEARCH($A44,IFERROR(VLOOKUP($O44,'Exceptions'!$A$5:$M$204,3,FALSE),""))),FALSE)),0,1),1)))</x:f>
      </x:c>
      <x:c r="T44" t="str">
        <x:f>IF($A44="","",IF($C44="","",IF($H44="N/A",IF(AND($P44&lt;&gt;"",$O44&lt;&gt;"",IFERROR(VLOOKUP($O44,'Exceptions'!$A$5:$M$204,2,FALSE),"")="N/A determination",IFERROR(VLOOKUP($O44,'Exceptions'!$A$5:$M$204,13,FALSE),"")="Active",IFERROR(ISNUMBER(SEARCH($A44,IFERROR(VLOOKUP($O44,'Exceptions'!$A$5:$M$204,3,FALSE),""))),FALSE)),"N/A","FAIL"),IF(OR($H44="Unknown",$H44="",$K44=0,$L44&lt;&gt;"Yes"),"UNKNOWN",IF($H44="Met",IF($K44&gt;=VALUE(RIGHT($G44,1)),"PASS","UNKNOWN"),IF(OR($H44="Partially met",$H44="Unmet"),"FAIL","UNKNOWN"))))))</x:f>
      </x:c>
      <x:c r="U44" t="str">
        <x:f>IF($A44="","",IF($S44=0,0,IF(AND($K44&gt;=1,$L44="Yes"),1,0)))</x:f>
      </x:c>
      <x:c r="V44" t="str">
        <x:f>IF($A44="","",IF(OR($S44=0,$H44="N/A",$L44&lt;&gt;"Yes"),0,$K44))</x:f>
      </x:c>
      <x:c r="AB44" t="str">
        <x:f>IF($A44="","",IF(AND($Q44=1,$H44="N/A",NOT(AND($P44&lt;&gt;"",$O44&lt;&gt;"",IFERROR(VLOOKUP($O44,'Exceptions'!$A$5:$M$204,2,FALSE),"")="N/A determination",IFERROR(VLOOKUP($O44,'Exceptions'!$A$5:$M$204,13,FALSE),"")="Active",IFERROR(ISNUMBER(SEARCH($A44,IFERROR(VLOOKUP($O44,'Exceptions'!$A$5:$M$204,3,FALSE),""))),FALSE)))),"MISSING OR INVALID N/A DECISION",IF(AND($Q44=1,OR($H44="Partially met",$H44="Unmet"),OR($K44&lt;1,$L44&lt;&gt;"Yes")),"KNOWN RATING NEEDS FRESH E1",IF(AND($Q44=1,$H44="Met",OR($K44&lt;VALUE(RIGHT($G44,1)),$L44&lt;&gt;"Yes")),"EVIDENCE BELOW MINIMUM",IF(AND($Q44=1,OR($H44="",$H44="Unknown")),"UNASSESSED",IF(AND($H44="N/A",AND($P44&lt;&gt;"",$O44&lt;&gt;"",IFERROR(VLOOKUP($O44,'Exceptions'!$A$5:$M$204,2,FALSE),"")="N/A determination",IFERROR(VLOOKUP($O44,'Exceptions'!$A$5:$M$204,13,FALSE),"")="Active",IFERROR(ISNUMBER(SEARCH($A44,IFERROR(VLOOKUP($O44,'Exceptions'!$A$5:$M$204,3,FALSE),""))),FALSE))),"N/A APPROVED",IF($O44&lt;&gt;"","EXCEPTION REVIEW","OK")))))))</x:f>
      </x:c>
    </x:row>
    <x:row r="45">
      <x:c r="H45" s="8"/>
      <x:c r="I45" t="str">
        <x:f>IF($A45="","",IF($H45="Met",1,IF($H45="Partially met",0.5,IF(OR($H45="Unmet",$H45="Unknown"),0,""))))</x:f>
      </x:c>
      <x:c r="J45" s="8"/>
      <x:c r="K45" t="str">
        <x:f>IF($A45="","",IF($J45="E4",4,IF($J45="E3",3,IF($J45="E2",2,IF($J45="E1",1,0)))))</x:f>
      </x:c>
      <x:c r="L45" s="8"/>
      <x:c r="M45" s="8"/>
      <x:c r="N45" s="8"/>
      <x:c r="O45" s="8"/>
      <x:c r="P45" s="8"/>
      <x:c r="Q45" t="str">
        <x:f>IF($A45="","",IF($D45="Baseline",1,IF($D45="Elevated",IF(OR('Profile'!$B$11="Elevated",'Profile'!$B$11="Critical"),1,0),IF($D45="Critical",IF('Profile'!$B$11="Critical",1,0),1))))</x:f>
      </x:c>
      <x:c r="R45" t="str">
        <x:f>IF($A45="","",IF($Q45=0,0,IF($H45="N/A",0,IF($H45="Met",IF(AND($K45&gt;=VALUE(RIGHT($G45,1)),$L45="Yes"),1,0),IF($H45="Partially met",IF(AND($K45&gt;=1,$L45="Yes"),0.5,0),0)))))</x:f>
      </x:c>
      <x:c r="S45" t="str">
        <x:f>IF($A45="","",IF($Q45=0,0,IF($H45="N/A",IF(AND($P45&lt;&gt;"",$O45&lt;&gt;"",IFERROR(VLOOKUP($O45,'Exceptions'!$A$5:$M$204,2,FALSE),"")="N/A determination",IFERROR(VLOOKUP($O45,'Exceptions'!$A$5:$M$204,13,FALSE),"")="Active",IFERROR(ISNUMBER(SEARCH($A45,IFERROR(VLOOKUP($O45,'Exceptions'!$A$5:$M$204,3,FALSE),""))),FALSE)),0,1),1)))</x:f>
      </x:c>
      <x:c r="T45" t="str">
        <x:f>IF($A45="","",IF($C45="","",IF($H45="N/A",IF(AND($P45&lt;&gt;"",$O45&lt;&gt;"",IFERROR(VLOOKUP($O45,'Exceptions'!$A$5:$M$204,2,FALSE),"")="N/A determination",IFERROR(VLOOKUP($O45,'Exceptions'!$A$5:$M$204,13,FALSE),"")="Active",IFERROR(ISNUMBER(SEARCH($A45,IFERROR(VLOOKUP($O45,'Exceptions'!$A$5:$M$204,3,FALSE),""))),FALSE)),"N/A","FAIL"),IF(OR($H45="Unknown",$H45="",$K45=0,$L45&lt;&gt;"Yes"),"UNKNOWN",IF($H45="Met",IF($K45&gt;=VALUE(RIGHT($G45,1)),"PASS","UNKNOWN"),IF(OR($H45="Partially met",$H45="Unmet"),"FAIL","UNKNOWN"))))))</x:f>
      </x:c>
      <x:c r="U45" t="str">
        <x:f>IF($A45="","",IF($S45=0,0,IF(AND($K45&gt;=1,$L45="Yes"),1,0)))</x:f>
      </x:c>
      <x:c r="V45" t="str">
        <x:f>IF($A45="","",IF(OR($S45=0,$H45="N/A",$L45&lt;&gt;"Yes"),0,$K45))</x:f>
      </x:c>
      <x:c r="AB45" t="str">
        <x:f>IF($A45="","",IF(AND($Q45=1,$H45="N/A",NOT(AND($P45&lt;&gt;"",$O45&lt;&gt;"",IFERROR(VLOOKUP($O45,'Exceptions'!$A$5:$M$204,2,FALSE),"")="N/A determination",IFERROR(VLOOKUP($O45,'Exceptions'!$A$5:$M$204,13,FALSE),"")="Active",IFERROR(ISNUMBER(SEARCH($A45,IFERROR(VLOOKUP($O45,'Exceptions'!$A$5:$M$204,3,FALSE),""))),FALSE)))),"MISSING OR INVALID N/A DECISION",IF(AND($Q45=1,OR($H45="Partially met",$H45="Unmet"),OR($K45&lt;1,$L45&lt;&gt;"Yes")),"KNOWN RATING NEEDS FRESH E1",IF(AND($Q45=1,$H45="Met",OR($K45&lt;VALUE(RIGHT($G45,1)),$L45&lt;&gt;"Yes")),"EVIDENCE BELOW MINIMUM",IF(AND($Q45=1,OR($H45="",$H45="Unknown")),"UNASSESSED",IF(AND($H45="N/A",AND($P45&lt;&gt;"",$O45&lt;&gt;"",IFERROR(VLOOKUP($O45,'Exceptions'!$A$5:$M$204,2,FALSE),"")="N/A determination",IFERROR(VLOOKUP($O45,'Exceptions'!$A$5:$M$204,13,FALSE),"")="Active",IFERROR(ISNUMBER(SEARCH($A45,IFERROR(VLOOKUP($O45,'Exceptions'!$A$5:$M$204,3,FALSE),""))),FALSE))),"N/A APPROVED",IF($O45&lt;&gt;"","EXCEPTION REVIEW","OK")))))))</x:f>
      </x:c>
    </x:row>
    <x:row r="46">
      <x:c r="H46" s="8"/>
      <x:c r="I46" t="str">
        <x:f>IF($A46="","",IF($H46="Met",1,IF($H46="Partially met",0.5,IF(OR($H46="Unmet",$H46="Unknown"),0,""))))</x:f>
      </x:c>
      <x:c r="J46" s="8"/>
      <x:c r="K46" t="str">
        <x:f>IF($A46="","",IF($J46="E4",4,IF($J46="E3",3,IF($J46="E2",2,IF($J46="E1",1,0)))))</x:f>
      </x:c>
      <x:c r="L46" s="8"/>
      <x:c r="M46" s="8"/>
      <x:c r="N46" s="8"/>
      <x:c r="O46" s="8"/>
      <x:c r="P46" s="8"/>
      <x:c r="Q46" t="str">
        <x:f>IF($A46="","",IF($D46="Baseline",1,IF($D46="Elevated",IF(OR('Profile'!$B$11="Elevated",'Profile'!$B$11="Critical"),1,0),IF($D46="Critical",IF('Profile'!$B$11="Critical",1,0),1))))</x:f>
      </x:c>
      <x:c r="R46" t="str">
        <x:f>IF($A46="","",IF($Q46=0,0,IF($H46="N/A",0,IF($H46="Met",IF(AND($K46&gt;=VALUE(RIGHT($G46,1)),$L46="Yes"),1,0),IF($H46="Partially met",IF(AND($K46&gt;=1,$L46="Yes"),0.5,0),0)))))</x:f>
      </x:c>
      <x:c r="S46" t="str">
        <x:f>IF($A46="","",IF($Q46=0,0,IF($H46="N/A",IF(AND($P46&lt;&gt;"",$O46&lt;&gt;"",IFERROR(VLOOKUP($O46,'Exceptions'!$A$5:$M$204,2,FALSE),"")="N/A determination",IFERROR(VLOOKUP($O46,'Exceptions'!$A$5:$M$204,13,FALSE),"")="Active",IFERROR(ISNUMBER(SEARCH($A46,IFERROR(VLOOKUP($O46,'Exceptions'!$A$5:$M$204,3,FALSE),""))),FALSE)),0,1),1)))</x:f>
      </x:c>
      <x:c r="T46" t="str">
        <x:f>IF($A46="","",IF($C46="","",IF($H46="N/A",IF(AND($P46&lt;&gt;"",$O46&lt;&gt;"",IFERROR(VLOOKUP($O46,'Exceptions'!$A$5:$M$204,2,FALSE),"")="N/A determination",IFERROR(VLOOKUP($O46,'Exceptions'!$A$5:$M$204,13,FALSE),"")="Active",IFERROR(ISNUMBER(SEARCH($A46,IFERROR(VLOOKUP($O46,'Exceptions'!$A$5:$M$204,3,FALSE),""))),FALSE)),"N/A","FAIL"),IF(OR($H46="Unknown",$H46="",$K46=0,$L46&lt;&gt;"Yes"),"UNKNOWN",IF($H46="Met",IF($K46&gt;=VALUE(RIGHT($G46,1)),"PASS","UNKNOWN"),IF(OR($H46="Partially met",$H46="Unmet"),"FAIL","UNKNOWN"))))))</x:f>
      </x:c>
      <x:c r="U46" t="str">
        <x:f>IF($A46="","",IF($S46=0,0,IF(AND($K46&gt;=1,$L46="Yes"),1,0)))</x:f>
      </x:c>
      <x:c r="V46" t="str">
        <x:f>IF($A46="","",IF(OR($S46=0,$H46="N/A",$L46&lt;&gt;"Yes"),0,$K46))</x:f>
      </x:c>
      <x:c r="AB46" t="str">
        <x:f>IF($A46="","",IF(AND($Q46=1,$H46="N/A",NOT(AND($P46&lt;&gt;"",$O46&lt;&gt;"",IFERROR(VLOOKUP($O46,'Exceptions'!$A$5:$M$204,2,FALSE),"")="N/A determination",IFERROR(VLOOKUP($O46,'Exceptions'!$A$5:$M$204,13,FALSE),"")="Active",IFERROR(ISNUMBER(SEARCH($A46,IFERROR(VLOOKUP($O46,'Exceptions'!$A$5:$M$204,3,FALSE),""))),FALSE)))),"MISSING OR INVALID N/A DECISION",IF(AND($Q46=1,OR($H46="Partially met",$H46="Unmet"),OR($K46&lt;1,$L46&lt;&gt;"Yes")),"KNOWN RATING NEEDS FRESH E1",IF(AND($Q46=1,$H46="Met",OR($K46&lt;VALUE(RIGHT($G46,1)),$L46&lt;&gt;"Yes")),"EVIDENCE BELOW MINIMUM",IF(AND($Q46=1,OR($H46="",$H46="Unknown")),"UNASSESSED",IF(AND($H46="N/A",AND($P46&lt;&gt;"",$O46&lt;&gt;"",IFERROR(VLOOKUP($O46,'Exceptions'!$A$5:$M$204,2,FALSE),"")="N/A determination",IFERROR(VLOOKUP($O46,'Exceptions'!$A$5:$M$204,13,FALSE),"")="Active",IFERROR(ISNUMBER(SEARCH($A46,IFERROR(VLOOKUP($O46,'Exceptions'!$A$5:$M$204,3,FALSE),""))),FALSE))),"N/A APPROVED",IF($O46&lt;&gt;"","EXCEPTION REVIEW","OK")))))))</x:f>
      </x:c>
    </x:row>
    <x:row r="47">
      <x:c r="H47" s="8"/>
      <x:c r="I47" t="str">
        <x:f>IF($A47="","",IF($H47="Met",1,IF($H47="Partially met",0.5,IF(OR($H47="Unmet",$H47="Unknown"),0,""))))</x:f>
      </x:c>
      <x:c r="J47" s="8"/>
      <x:c r="K47" t="str">
        <x:f>IF($A47="","",IF($J47="E4",4,IF($J47="E3",3,IF($J47="E2",2,IF($J47="E1",1,0)))))</x:f>
      </x:c>
      <x:c r="L47" s="8"/>
      <x:c r="M47" s="8"/>
      <x:c r="N47" s="8"/>
      <x:c r="O47" s="8"/>
      <x:c r="P47" s="8"/>
      <x:c r="Q47" t="str">
        <x:f>IF($A47="","",IF($D47="Baseline",1,IF($D47="Elevated",IF(OR('Profile'!$B$11="Elevated",'Profile'!$B$11="Critical"),1,0),IF($D47="Critical",IF('Profile'!$B$11="Critical",1,0),1))))</x:f>
      </x:c>
      <x:c r="R47" t="str">
        <x:f>IF($A47="","",IF($Q47=0,0,IF($H47="N/A",0,IF($H47="Met",IF(AND($K47&gt;=VALUE(RIGHT($G47,1)),$L47="Yes"),1,0),IF($H47="Partially met",IF(AND($K47&gt;=1,$L47="Yes"),0.5,0),0)))))</x:f>
      </x:c>
      <x:c r="S47" t="str">
        <x:f>IF($A47="","",IF($Q47=0,0,IF($H47="N/A",IF(AND($P47&lt;&gt;"",$O47&lt;&gt;"",IFERROR(VLOOKUP($O47,'Exceptions'!$A$5:$M$204,2,FALSE),"")="N/A determination",IFERROR(VLOOKUP($O47,'Exceptions'!$A$5:$M$204,13,FALSE),"")="Active",IFERROR(ISNUMBER(SEARCH($A47,IFERROR(VLOOKUP($O47,'Exceptions'!$A$5:$M$204,3,FALSE),""))),FALSE)),0,1),1)))</x:f>
      </x:c>
      <x:c r="T47" t="str">
        <x:f>IF($A47="","",IF($C47="","",IF($H47="N/A",IF(AND($P47&lt;&gt;"",$O47&lt;&gt;"",IFERROR(VLOOKUP($O47,'Exceptions'!$A$5:$M$204,2,FALSE),"")="N/A determination",IFERROR(VLOOKUP($O47,'Exceptions'!$A$5:$M$204,13,FALSE),"")="Active",IFERROR(ISNUMBER(SEARCH($A47,IFERROR(VLOOKUP($O47,'Exceptions'!$A$5:$M$204,3,FALSE),""))),FALSE)),"N/A","FAIL"),IF(OR($H47="Unknown",$H47="",$K47=0,$L47&lt;&gt;"Yes"),"UNKNOWN",IF($H47="Met",IF($K47&gt;=VALUE(RIGHT($G47,1)),"PASS","UNKNOWN"),IF(OR($H47="Partially met",$H47="Unmet"),"FAIL","UNKNOWN"))))))</x:f>
      </x:c>
      <x:c r="U47" t="str">
        <x:f>IF($A47="","",IF($S47=0,0,IF(AND($K47&gt;=1,$L47="Yes"),1,0)))</x:f>
      </x:c>
      <x:c r="V47" t="str">
        <x:f>IF($A47="","",IF(OR($S47=0,$H47="N/A",$L47&lt;&gt;"Yes"),0,$K47))</x:f>
      </x:c>
      <x:c r="AB47" t="str">
        <x:f>IF($A47="","",IF(AND($Q47=1,$H47="N/A",NOT(AND($P47&lt;&gt;"",$O47&lt;&gt;"",IFERROR(VLOOKUP($O47,'Exceptions'!$A$5:$M$204,2,FALSE),"")="N/A determination",IFERROR(VLOOKUP($O47,'Exceptions'!$A$5:$M$204,13,FALSE),"")="Active",IFERROR(ISNUMBER(SEARCH($A47,IFERROR(VLOOKUP($O47,'Exceptions'!$A$5:$M$204,3,FALSE),""))),FALSE)))),"MISSING OR INVALID N/A DECISION",IF(AND($Q47=1,OR($H47="Partially met",$H47="Unmet"),OR($K47&lt;1,$L47&lt;&gt;"Yes")),"KNOWN RATING NEEDS FRESH E1",IF(AND($Q47=1,$H47="Met",OR($K47&lt;VALUE(RIGHT($G47,1)),$L47&lt;&gt;"Yes")),"EVIDENCE BELOW MINIMUM",IF(AND($Q47=1,OR($H47="",$H47="Unknown")),"UNASSESSED",IF(AND($H47="N/A",AND($P47&lt;&gt;"",$O47&lt;&gt;"",IFERROR(VLOOKUP($O47,'Exceptions'!$A$5:$M$204,2,FALSE),"")="N/A determination",IFERROR(VLOOKUP($O47,'Exceptions'!$A$5:$M$204,13,FALSE),"")="Active",IFERROR(ISNUMBER(SEARCH($A47,IFERROR(VLOOKUP($O47,'Exceptions'!$A$5:$M$204,3,FALSE),""))),FALSE))),"N/A APPROVED",IF($O47&lt;&gt;"","EXCEPTION REVIEW","OK")))))))</x:f>
      </x:c>
    </x:row>
    <x:row r="48">
      <x:c r="H48" s="8"/>
      <x:c r="I48" t="str">
        <x:f>IF($A48="","",IF($H48="Met",1,IF($H48="Partially met",0.5,IF(OR($H48="Unmet",$H48="Unknown"),0,""))))</x:f>
      </x:c>
      <x:c r="J48" s="8"/>
      <x:c r="K48" t="str">
        <x:f>IF($A48="","",IF($J48="E4",4,IF($J48="E3",3,IF($J48="E2",2,IF($J48="E1",1,0)))))</x:f>
      </x:c>
      <x:c r="L48" s="8"/>
      <x:c r="M48" s="8"/>
      <x:c r="N48" s="8"/>
      <x:c r="O48" s="8"/>
      <x:c r="P48" s="8"/>
      <x:c r="Q48" t="str">
        <x:f>IF($A48="","",IF($D48="Baseline",1,IF($D48="Elevated",IF(OR('Profile'!$B$11="Elevated",'Profile'!$B$11="Critical"),1,0),IF($D48="Critical",IF('Profile'!$B$11="Critical",1,0),1))))</x:f>
      </x:c>
      <x:c r="R48" t="str">
        <x:f>IF($A48="","",IF($Q48=0,0,IF($H48="N/A",0,IF($H48="Met",IF(AND($K48&gt;=VALUE(RIGHT($G48,1)),$L48="Yes"),1,0),IF($H48="Partially met",IF(AND($K48&gt;=1,$L48="Yes"),0.5,0),0)))))</x:f>
      </x:c>
      <x:c r="S48" t="str">
        <x:f>IF($A48="","",IF($Q48=0,0,IF($H48="N/A",IF(AND($P48&lt;&gt;"",$O48&lt;&gt;"",IFERROR(VLOOKUP($O48,'Exceptions'!$A$5:$M$204,2,FALSE),"")="N/A determination",IFERROR(VLOOKUP($O48,'Exceptions'!$A$5:$M$204,13,FALSE),"")="Active",IFERROR(ISNUMBER(SEARCH($A48,IFERROR(VLOOKUP($O48,'Exceptions'!$A$5:$M$204,3,FALSE),""))),FALSE)),0,1),1)))</x:f>
      </x:c>
      <x:c r="T48" t="str">
        <x:f>IF($A48="","",IF($C48="","",IF($H48="N/A",IF(AND($P48&lt;&gt;"",$O48&lt;&gt;"",IFERROR(VLOOKUP($O48,'Exceptions'!$A$5:$M$204,2,FALSE),"")="N/A determination",IFERROR(VLOOKUP($O48,'Exceptions'!$A$5:$M$204,13,FALSE),"")="Active",IFERROR(ISNUMBER(SEARCH($A48,IFERROR(VLOOKUP($O48,'Exceptions'!$A$5:$M$204,3,FALSE),""))),FALSE)),"N/A","FAIL"),IF(OR($H48="Unknown",$H48="",$K48=0,$L48&lt;&gt;"Yes"),"UNKNOWN",IF($H48="Met",IF($K48&gt;=VALUE(RIGHT($G48,1)),"PASS","UNKNOWN"),IF(OR($H48="Partially met",$H48="Unmet"),"FAIL","UNKNOWN"))))))</x:f>
      </x:c>
      <x:c r="U48" t="str">
        <x:f>IF($A48="","",IF($S48=0,0,IF(AND($K48&gt;=1,$L48="Yes"),1,0)))</x:f>
      </x:c>
      <x:c r="V48" t="str">
        <x:f>IF($A48="","",IF(OR($S48=0,$H48="N/A",$L48&lt;&gt;"Yes"),0,$K48))</x:f>
      </x:c>
      <x:c r="AB48" t="str">
        <x:f>IF($A48="","",IF(AND($Q48=1,$H48="N/A",NOT(AND($P48&lt;&gt;"",$O48&lt;&gt;"",IFERROR(VLOOKUP($O48,'Exceptions'!$A$5:$M$204,2,FALSE),"")="N/A determination",IFERROR(VLOOKUP($O48,'Exceptions'!$A$5:$M$204,13,FALSE),"")="Active",IFERROR(ISNUMBER(SEARCH($A48,IFERROR(VLOOKUP($O48,'Exceptions'!$A$5:$M$204,3,FALSE),""))),FALSE)))),"MISSING OR INVALID N/A DECISION",IF(AND($Q48=1,OR($H48="Partially met",$H48="Unmet"),OR($K48&lt;1,$L48&lt;&gt;"Yes")),"KNOWN RATING NEEDS FRESH E1",IF(AND($Q48=1,$H48="Met",OR($K48&lt;VALUE(RIGHT($G48,1)),$L48&lt;&gt;"Yes")),"EVIDENCE BELOW MINIMUM",IF(AND($Q48=1,OR($H48="",$H48="Unknown")),"UNASSESSED",IF(AND($H48="N/A",AND($P48&lt;&gt;"",$O48&lt;&gt;"",IFERROR(VLOOKUP($O48,'Exceptions'!$A$5:$M$204,2,FALSE),"")="N/A determination",IFERROR(VLOOKUP($O48,'Exceptions'!$A$5:$M$204,13,FALSE),"")="Active",IFERROR(ISNUMBER(SEARCH($A48,IFERROR(VLOOKUP($O48,'Exceptions'!$A$5:$M$204,3,FALSE),""))),FALSE))),"N/A APPROVED",IF($O48&lt;&gt;"","EXCEPTION REVIEW","OK")))))))</x:f>
      </x:c>
    </x:row>
    <x:row r="49">
      <x:c r="H49" s="8"/>
      <x:c r="I49" t="str">
        <x:f>IF($A49="","",IF($H49="Met",1,IF($H49="Partially met",0.5,IF(OR($H49="Unmet",$H49="Unknown"),0,""))))</x:f>
      </x:c>
      <x:c r="J49" s="8"/>
      <x:c r="K49" t="str">
        <x:f>IF($A49="","",IF($J49="E4",4,IF($J49="E3",3,IF($J49="E2",2,IF($J49="E1",1,0)))))</x:f>
      </x:c>
      <x:c r="L49" s="8"/>
      <x:c r="M49" s="8"/>
      <x:c r="N49" s="8"/>
      <x:c r="O49" s="8"/>
      <x:c r="P49" s="8"/>
      <x:c r="Q49" t="str">
        <x:f>IF($A49="","",IF($D49="Baseline",1,IF($D49="Elevated",IF(OR('Profile'!$B$11="Elevated",'Profile'!$B$11="Critical"),1,0),IF($D49="Critical",IF('Profile'!$B$11="Critical",1,0),1))))</x:f>
      </x:c>
      <x:c r="R49" t="str">
        <x:f>IF($A49="","",IF($Q49=0,0,IF($H49="N/A",0,IF($H49="Met",IF(AND($K49&gt;=VALUE(RIGHT($G49,1)),$L49="Yes"),1,0),IF($H49="Partially met",IF(AND($K49&gt;=1,$L49="Yes"),0.5,0),0)))))</x:f>
      </x:c>
      <x:c r="S49" t="str">
        <x:f>IF($A49="","",IF($Q49=0,0,IF($H49="N/A",IF(AND($P49&lt;&gt;"",$O49&lt;&gt;"",IFERROR(VLOOKUP($O49,'Exceptions'!$A$5:$M$204,2,FALSE),"")="N/A determination",IFERROR(VLOOKUP($O49,'Exceptions'!$A$5:$M$204,13,FALSE),"")="Active",IFERROR(ISNUMBER(SEARCH($A49,IFERROR(VLOOKUP($O49,'Exceptions'!$A$5:$M$204,3,FALSE),""))),FALSE)),0,1),1)))</x:f>
      </x:c>
      <x:c r="T49" t="str">
        <x:f>IF($A49="","",IF($C49="","",IF($H49="N/A",IF(AND($P49&lt;&gt;"",$O49&lt;&gt;"",IFERROR(VLOOKUP($O49,'Exceptions'!$A$5:$M$204,2,FALSE),"")="N/A determination",IFERROR(VLOOKUP($O49,'Exceptions'!$A$5:$M$204,13,FALSE),"")="Active",IFERROR(ISNUMBER(SEARCH($A49,IFERROR(VLOOKUP($O49,'Exceptions'!$A$5:$M$204,3,FALSE),""))),FALSE)),"N/A","FAIL"),IF(OR($H49="Unknown",$H49="",$K49=0,$L49&lt;&gt;"Yes"),"UNKNOWN",IF($H49="Met",IF($K49&gt;=VALUE(RIGHT($G49,1)),"PASS","UNKNOWN"),IF(OR($H49="Partially met",$H49="Unmet"),"FAIL","UNKNOWN"))))))</x:f>
      </x:c>
      <x:c r="U49" t="str">
        <x:f>IF($A49="","",IF($S49=0,0,IF(AND($K49&gt;=1,$L49="Yes"),1,0)))</x:f>
      </x:c>
      <x:c r="V49" t="str">
        <x:f>IF($A49="","",IF(OR($S49=0,$H49="N/A",$L49&lt;&gt;"Yes"),0,$K49))</x:f>
      </x:c>
      <x:c r="AB49" t="str">
        <x:f>IF($A49="","",IF(AND($Q49=1,$H49="N/A",NOT(AND($P49&lt;&gt;"",$O49&lt;&gt;"",IFERROR(VLOOKUP($O49,'Exceptions'!$A$5:$M$204,2,FALSE),"")="N/A determination",IFERROR(VLOOKUP($O49,'Exceptions'!$A$5:$M$204,13,FALSE),"")="Active",IFERROR(ISNUMBER(SEARCH($A49,IFERROR(VLOOKUP($O49,'Exceptions'!$A$5:$M$204,3,FALSE),""))),FALSE)))),"MISSING OR INVALID N/A DECISION",IF(AND($Q49=1,OR($H49="Partially met",$H49="Unmet"),OR($K49&lt;1,$L49&lt;&gt;"Yes")),"KNOWN RATING NEEDS FRESH E1",IF(AND($Q49=1,$H49="Met",OR($K49&lt;VALUE(RIGHT($G49,1)),$L49&lt;&gt;"Yes")),"EVIDENCE BELOW MINIMUM",IF(AND($Q49=1,OR($H49="",$H49="Unknown")),"UNASSESSED",IF(AND($H49="N/A",AND($P49&lt;&gt;"",$O49&lt;&gt;"",IFERROR(VLOOKUP($O49,'Exceptions'!$A$5:$M$204,2,FALSE),"")="N/A determination",IFERROR(VLOOKUP($O49,'Exceptions'!$A$5:$M$204,13,FALSE),"")="Active",IFERROR(ISNUMBER(SEARCH($A49,IFERROR(VLOOKUP($O49,'Exceptions'!$A$5:$M$204,3,FALSE),""))),FALSE))),"N/A APPROVED",IF($O49&lt;&gt;"","EXCEPTION REVIEW","OK")))))))</x:f>
      </x:c>
    </x:row>
    <x:row r="50">
      <x:c r="H50" s="8"/>
      <x:c r="I50" t="str">
        <x:f>IF($A50="","",IF($H50="Met",1,IF($H50="Partially met",0.5,IF(OR($H50="Unmet",$H50="Unknown"),0,""))))</x:f>
      </x:c>
      <x:c r="J50" s="8"/>
      <x:c r="K50" t="str">
        <x:f>IF($A50="","",IF($J50="E4",4,IF($J50="E3",3,IF($J50="E2",2,IF($J50="E1",1,0)))))</x:f>
      </x:c>
      <x:c r="L50" s="8"/>
      <x:c r="M50" s="8"/>
      <x:c r="N50" s="8"/>
      <x:c r="O50" s="8"/>
      <x:c r="P50" s="8"/>
      <x:c r="Q50" t="str">
        <x:f>IF($A50="","",IF($D50="Baseline",1,IF($D50="Elevated",IF(OR('Profile'!$B$11="Elevated",'Profile'!$B$11="Critical"),1,0),IF($D50="Critical",IF('Profile'!$B$11="Critical",1,0),1))))</x:f>
      </x:c>
      <x:c r="R50" t="str">
        <x:f>IF($A50="","",IF($Q50=0,0,IF($H50="N/A",0,IF($H50="Met",IF(AND($K50&gt;=VALUE(RIGHT($G50,1)),$L50="Yes"),1,0),IF($H50="Partially met",IF(AND($K50&gt;=1,$L50="Yes"),0.5,0),0)))))</x:f>
      </x:c>
      <x:c r="S50" t="str">
        <x:f>IF($A50="","",IF($Q50=0,0,IF($H50="N/A",IF(AND($P50&lt;&gt;"",$O50&lt;&gt;"",IFERROR(VLOOKUP($O50,'Exceptions'!$A$5:$M$204,2,FALSE),"")="N/A determination",IFERROR(VLOOKUP($O50,'Exceptions'!$A$5:$M$204,13,FALSE),"")="Active",IFERROR(ISNUMBER(SEARCH($A50,IFERROR(VLOOKUP($O50,'Exceptions'!$A$5:$M$204,3,FALSE),""))),FALSE)),0,1),1)))</x:f>
      </x:c>
      <x:c r="T50" t="str">
        <x:f>IF($A50="","",IF($C50="","",IF($H50="N/A",IF(AND($P50&lt;&gt;"",$O50&lt;&gt;"",IFERROR(VLOOKUP($O50,'Exceptions'!$A$5:$M$204,2,FALSE),"")="N/A determination",IFERROR(VLOOKUP($O50,'Exceptions'!$A$5:$M$204,13,FALSE),"")="Active",IFERROR(ISNUMBER(SEARCH($A50,IFERROR(VLOOKUP($O50,'Exceptions'!$A$5:$M$204,3,FALSE),""))),FALSE)),"N/A","FAIL"),IF(OR($H50="Unknown",$H50="",$K50=0,$L50&lt;&gt;"Yes"),"UNKNOWN",IF($H50="Met",IF($K50&gt;=VALUE(RIGHT($G50,1)),"PASS","UNKNOWN"),IF(OR($H50="Partially met",$H50="Unmet"),"FAIL","UNKNOWN"))))))</x:f>
      </x:c>
      <x:c r="U50" t="str">
        <x:f>IF($A50="","",IF($S50=0,0,IF(AND($K50&gt;=1,$L50="Yes"),1,0)))</x:f>
      </x:c>
      <x:c r="V50" t="str">
        <x:f>IF($A50="","",IF(OR($S50=0,$H50="N/A",$L50&lt;&gt;"Yes"),0,$K50))</x:f>
      </x:c>
      <x:c r="AB50" t="str">
        <x:f>IF($A50="","",IF(AND($Q50=1,$H50="N/A",NOT(AND($P50&lt;&gt;"",$O50&lt;&gt;"",IFERROR(VLOOKUP($O50,'Exceptions'!$A$5:$M$204,2,FALSE),"")="N/A determination",IFERROR(VLOOKUP($O50,'Exceptions'!$A$5:$M$204,13,FALSE),"")="Active",IFERROR(ISNUMBER(SEARCH($A50,IFERROR(VLOOKUP($O50,'Exceptions'!$A$5:$M$204,3,FALSE),""))),FALSE)))),"MISSING OR INVALID N/A DECISION",IF(AND($Q50=1,OR($H50="Partially met",$H50="Unmet"),OR($K50&lt;1,$L50&lt;&gt;"Yes")),"KNOWN RATING NEEDS FRESH E1",IF(AND($Q50=1,$H50="Met",OR($K50&lt;VALUE(RIGHT($G50,1)),$L50&lt;&gt;"Yes")),"EVIDENCE BELOW MINIMUM",IF(AND($Q50=1,OR($H50="",$H50="Unknown")),"UNASSESSED",IF(AND($H50="N/A",AND($P50&lt;&gt;"",$O50&lt;&gt;"",IFERROR(VLOOKUP($O50,'Exceptions'!$A$5:$M$204,2,FALSE),"")="N/A determination",IFERROR(VLOOKUP($O50,'Exceptions'!$A$5:$M$204,13,FALSE),"")="Active",IFERROR(ISNUMBER(SEARCH($A50,IFERROR(VLOOKUP($O50,'Exceptions'!$A$5:$M$204,3,FALSE),""))),FALSE))),"N/A APPROVED",IF($O50&lt;&gt;"","EXCEPTION REVIEW","OK")))))))</x:f>
      </x:c>
    </x:row>
    <x:row r="51">
      <x:c r="H51" s="8"/>
      <x:c r="I51" t="str">
        <x:f>IF($A51="","",IF($H51="Met",1,IF($H51="Partially met",0.5,IF(OR($H51="Unmet",$H51="Unknown"),0,""))))</x:f>
      </x:c>
      <x:c r="J51" s="8"/>
      <x:c r="K51" t="str">
        <x:f>IF($A51="","",IF($J51="E4",4,IF($J51="E3",3,IF($J51="E2",2,IF($J51="E1",1,0)))))</x:f>
      </x:c>
      <x:c r="L51" s="8"/>
      <x:c r="M51" s="8"/>
      <x:c r="N51" s="8"/>
      <x:c r="O51" s="8"/>
      <x:c r="P51" s="8"/>
      <x:c r="Q51" t="str">
        <x:f>IF($A51="","",IF($D51="Baseline",1,IF($D51="Elevated",IF(OR('Profile'!$B$11="Elevated",'Profile'!$B$11="Critical"),1,0),IF($D51="Critical",IF('Profile'!$B$11="Critical",1,0),1))))</x:f>
      </x:c>
      <x:c r="R51" t="str">
        <x:f>IF($A51="","",IF($Q51=0,0,IF($H51="N/A",0,IF($H51="Met",IF(AND($K51&gt;=VALUE(RIGHT($G51,1)),$L51="Yes"),1,0),IF($H51="Partially met",IF(AND($K51&gt;=1,$L51="Yes"),0.5,0),0)))))</x:f>
      </x:c>
      <x:c r="S51" t="str">
        <x:f>IF($A51="","",IF($Q51=0,0,IF($H51="N/A",IF(AND($P51&lt;&gt;"",$O51&lt;&gt;"",IFERROR(VLOOKUP($O51,'Exceptions'!$A$5:$M$204,2,FALSE),"")="N/A determination",IFERROR(VLOOKUP($O51,'Exceptions'!$A$5:$M$204,13,FALSE),"")="Active",IFERROR(ISNUMBER(SEARCH($A51,IFERROR(VLOOKUP($O51,'Exceptions'!$A$5:$M$204,3,FALSE),""))),FALSE)),0,1),1)))</x:f>
      </x:c>
      <x:c r="T51" t="str">
        <x:f>IF($A51="","",IF($C51="","",IF($H51="N/A",IF(AND($P51&lt;&gt;"",$O51&lt;&gt;"",IFERROR(VLOOKUP($O51,'Exceptions'!$A$5:$M$204,2,FALSE),"")="N/A determination",IFERROR(VLOOKUP($O51,'Exceptions'!$A$5:$M$204,13,FALSE),"")="Active",IFERROR(ISNUMBER(SEARCH($A51,IFERROR(VLOOKUP($O51,'Exceptions'!$A$5:$M$204,3,FALSE),""))),FALSE)),"N/A","FAIL"),IF(OR($H51="Unknown",$H51="",$K51=0,$L51&lt;&gt;"Yes"),"UNKNOWN",IF($H51="Met",IF($K51&gt;=VALUE(RIGHT($G51,1)),"PASS","UNKNOWN"),IF(OR($H51="Partially met",$H51="Unmet"),"FAIL","UNKNOWN"))))))</x:f>
      </x:c>
      <x:c r="U51" t="str">
        <x:f>IF($A51="","",IF($S51=0,0,IF(AND($K51&gt;=1,$L51="Yes"),1,0)))</x:f>
      </x:c>
      <x:c r="V51" t="str">
        <x:f>IF($A51="","",IF(OR($S51=0,$H51="N/A",$L51&lt;&gt;"Yes"),0,$K51))</x:f>
      </x:c>
      <x:c r="AB51" t="str">
        <x:f>IF($A51="","",IF(AND($Q51=1,$H51="N/A",NOT(AND($P51&lt;&gt;"",$O51&lt;&gt;"",IFERROR(VLOOKUP($O51,'Exceptions'!$A$5:$M$204,2,FALSE),"")="N/A determination",IFERROR(VLOOKUP($O51,'Exceptions'!$A$5:$M$204,13,FALSE),"")="Active",IFERROR(ISNUMBER(SEARCH($A51,IFERROR(VLOOKUP($O51,'Exceptions'!$A$5:$M$204,3,FALSE),""))),FALSE)))),"MISSING OR INVALID N/A DECISION",IF(AND($Q51=1,OR($H51="Partially met",$H51="Unmet"),OR($K51&lt;1,$L51&lt;&gt;"Yes")),"KNOWN RATING NEEDS FRESH E1",IF(AND($Q51=1,$H51="Met",OR($K51&lt;VALUE(RIGHT($G51,1)),$L51&lt;&gt;"Yes")),"EVIDENCE BELOW MINIMUM",IF(AND($Q51=1,OR($H51="",$H51="Unknown")),"UNASSESSED",IF(AND($H51="N/A",AND($P51&lt;&gt;"",$O51&lt;&gt;"",IFERROR(VLOOKUP($O51,'Exceptions'!$A$5:$M$204,2,FALSE),"")="N/A determination",IFERROR(VLOOKUP($O51,'Exceptions'!$A$5:$M$204,13,FALSE),"")="Active",IFERROR(ISNUMBER(SEARCH($A51,IFERROR(VLOOKUP($O51,'Exceptions'!$A$5:$M$204,3,FALSE),""))),FALSE))),"N/A APPROVED",IF($O51&lt;&gt;"","EXCEPTION REVIEW","OK")))))))</x:f>
      </x:c>
    </x:row>
    <x:row r="52">
      <x:c r="H52" s="8"/>
      <x:c r="I52" t="str">
        <x:f>IF($A52="","",IF($H52="Met",1,IF($H52="Partially met",0.5,IF(OR($H52="Unmet",$H52="Unknown"),0,""))))</x:f>
      </x:c>
      <x:c r="J52" s="8"/>
      <x:c r="K52" t="str">
        <x:f>IF($A52="","",IF($J52="E4",4,IF($J52="E3",3,IF($J52="E2",2,IF($J52="E1",1,0)))))</x:f>
      </x:c>
      <x:c r="L52" s="8"/>
      <x:c r="M52" s="8"/>
      <x:c r="N52" s="8"/>
      <x:c r="O52" s="8"/>
      <x:c r="P52" s="8"/>
      <x:c r="Q52" t="str">
        <x:f>IF($A52="","",IF($D52="Baseline",1,IF($D52="Elevated",IF(OR('Profile'!$B$11="Elevated",'Profile'!$B$11="Critical"),1,0),IF($D52="Critical",IF('Profile'!$B$11="Critical",1,0),1))))</x:f>
      </x:c>
      <x:c r="R52" t="str">
        <x:f>IF($A52="","",IF($Q52=0,0,IF($H52="N/A",0,IF($H52="Met",IF(AND($K52&gt;=VALUE(RIGHT($G52,1)),$L52="Yes"),1,0),IF($H52="Partially met",IF(AND($K52&gt;=1,$L52="Yes"),0.5,0),0)))))</x:f>
      </x:c>
      <x:c r="S52" t="str">
        <x:f>IF($A52="","",IF($Q52=0,0,IF($H52="N/A",IF(AND($P52&lt;&gt;"",$O52&lt;&gt;"",IFERROR(VLOOKUP($O52,'Exceptions'!$A$5:$M$204,2,FALSE),"")="N/A determination",IFERROR(VLOOKUP($O52,'Exceptions'!$A$5:$M$204,13,FALSE),"")="Active",IFERROR(ISNUMBER(SEARCH($A52,IFERROR(VLOOKUP($O52,'Exceptions'!$A$5:$M$204,3,FALSE),""))),FALSE)),0,1),1)))</x:f>
      </x:c>
      <x:c r="T52" t="str">
        <x:f>IF($A52="","",IF($C52="","",IF($H52="N/A",IF(AND($P52&lt;&gt;"",$O52&lt;&gt;"",IFERROR(VLOOKUP($O52,'Exceptions'!$A$5:$M$204,2,FALSE),"")="N/A determination",IFERROR(VLOOKUP($O52,'Exceptions'!$A$5:$M$204,13,FALSE),"")="Active",IFERROR(ISNUMBER(SEARCH($A52,IFERROR(VLOOKUP($O52,'Exceptions'!$A$5:$M$204,3,FALSE),""))),FALSE)),"N/A","FAIL"),IF(OR($H52="Unknown",$H52="",$K52=0,$L52&lt;&gt;"Yes"),"UNKNOWN",IF($H52="Met",IF($K52&gt;=VALUE(RIGHT($G52,1)),"PASS","UNKNOWN"),IF(OR($H52="Partially met",$H52="Unmet"),"FAIL","UNKNOWN"))))))</x:f>
      </x:c>
      <x:c r="U52" t="str">
        <x:f>IF($A52="","",IF($S52=0,0,IF(AND($K52&gt;=1,$L52="Yes"),1,0)))</x:f>
      </x:c>
      <x:c r="V52" t="str">
        <x:f>IF($A52="","",IF(OR($S52=0,$H52="N/A",$L52&lt;&gt;"Yes"),0,$K52))</x:f>
      </x:c>
      <x:c r="AB52" t="str">
        <x:f>IF($A52="","",IF(AND($Q52=1,$H52="N/A",NOT(AND($P52&lt;&gt;"",$O52&lt;&gt;"",IFERROR(VLOOKUP($O52,'Exceptions'!$A$5:$M$204,2,FALSE),"")="N/A determination",IFERROR(VLOOKUP($O52,'Exceptions'!$A$5:$M$204,13,FALSE),"")="Active",IFERROR(ISNUMBER(SEARCH($A52,IFERROR(VLOOKUP($O52,'Exceptions'!$A$5:$M$204,3,FALSE),""))),FALSE)))),"MISSING OR INVALID N/A DECISION",IF(AND($Q52=1,OR($H52="Partially met",$H52="Unmet"),OR($K52&lt;1,$L52&lt;&gt;"Yes")),"KNOWN RATING NEEDS FRESH E1",IF(AND($Q52=1,$H52="Met",OR($K52&lt;VALUE(RIGHT($G52,1)),$L52&lt;&gt;"Yes")),"EVIDENCE BELOW MINIMUM",IF(AND($Q52=1,OR($H52="",$H52="Unknown")),"UNASSESSED",IF(AND($H52="N/A",AND($P52&lt;&gt;"",$O52&lt;&gt;"",IFERROR(VLOOKUP($O52,'Exceptions'!$A$5:$M$204,2,FALSE),"")="N/A determination",IFERROR(VLOOKUP($O52,'Exceptions'!$A$5:$M$204,13,FALSE),"")="Active",IFERROR(ISNUMBER(SEARCH($A52,IFERROR(VLOOKUP($O52,'Exceptions'!$A$5:$M$204,3,FALSE),""))),FALSE))),"N/A APPROVED",IF($O52&lt;&gt;"","EXCEPTION REVIEW","OK")))))))</x:f>
      </x:c>
    </x:row>
    <x:row r="53">
      <x:c r="H53" s="8"/>
      <x:c r="I53" t="str">
        <x:f>IF($A53="","",IF($H53="Met",1,IF($H53="Partially met",0.5,IF(OR($H53="Unmet",$H53="Unknown"),0,""))))</x:f>
      </x:c>
      <x:c r="J53" s="8"/>
      <x:c r="K53" t="str">
        <x:f>IF($A53="","",IF($J53="E4",4,IF($J53="E3",3,IF($J53="E2",2,IF($J53="E1",1,0)))))</x:f>
      </x:c>
      <x:c r="L53" s="8"/>
      <x:c r="M53" s="8"/>
      <x:c r="N53" s="8"/>
      <x:c r="O53" s="8"/>
      <x:c r="P53" s="8"/>
      <x:c r="Q53" t="str">
        <x:f>IF($A53="","",IF($D53="Baseline",1,IF($D53="Elevated",IF(OR('Profile'!$B$11="Elevated",'Profile'!$B$11="Critical"),1,0),IF($D53="Critical",IF('Profile'!$B$11="Critical",1,0),1))))</x:f>
      </x:c>
      <x:c r="R53" t="str">
        <x:f>IF($A53="","",IF($Q53=0,0,IF($H53="N/A",0,IF($H53="Met",IF(AND($K53&gt;=VALUE(RIGHT($G53,1)),$L53="Yes"),1,0),IF($H53="Partially met",IF(AND($K53&gt;=1,$L53="Yes"),0.5,0),0)))))</x:f>
      </x:c>
      <x:c r="S53" t="str">
        <x:f>IF($A53="","",IF($Q53=0,0,IF($H53="N/A",IF(AND($P53&lt;&gt;"",$O53&lt;&gt;"",IFERROR(VLOOKUP($O53,'Exceptions'!$A$5:$M$204,2,FALSE),"")="N/A determination",IFERROR(VLOOKUP($O53,'Exceptions'!$A$5:$M$204,13,FALSE),"")="Active",IFERROR(ISNUMBER(SEARCH($A53,IFERROR(VLOOKUP($O53,'Exceptions'!$A$5:$M$204,3,FALSE),""))),FALSE)),0,1),1)))</x:f>
      </x:c>
      <x:c r="T53" t="str">
        <x:f>IF($A53="","",IF($C53="","",IF($H53="N/A",IF(AND($P53&lt;&gt;"",$O53&lt;&gt;"",IFERROR(VLOOKUP($O53,'Exceptions'!$A$5:$M$204,2,FALSE),"")="N/A determination",IFERROR(VLOOKUP($O53,'Exceptions'!$A$5:$M$204,13,FALSE),"")="Active",IFERROR(ISNUMBER(SEARCH($A53,IFERROR(VLOOKUP($O53,'Exceptions'!$A$5:$M$204,3,FALSE),""))),FALSE)),"N/A","FAIL"),IF(OR($H53="Unknown",$H53="",$K53=0,$L53&lt;&gt;"Yes"),"UNKNOWN",IF($H53="Met",IF($K53&gt;=VALUE(RIGHT($G53,1)),"PASS","UNKNOWN"),IF(OR($H53="Partially met",$H53="Unmet"),"FAIL","UNKNOWN"))))))</x:f>
      </x:c>
      <x:c r="U53" t="str">
        <x:f>IF($A53="","",IF($S53=0,0,IF(AND($K53&gt;=1,$L53="Yes"),1,0)))</x:f>
      </x:c>
      <x:c r="V53" t="str">
        <x:f>IF($A53="","",IF(OR($S53=0,$H53="N/A",$L53&lt;&gt;"Yes"),0,$K53))</x:f>
      </x:c>
      <x:c r="AB53" t="str">
        <x:f>IF($A53="","",IF(AND($Q53=1,$H53="N/A",NOT(AND($P53&lt;&gt;"",$O53&lt;&gt;"",IFERROR(VLOOKUP($O53,'Exceptions'!$A$5:$M$204,2,FALSE),"")="N/A determination",IFERROR(VLOOKUP($O53,'Exceptions'!$A$5:$M$204,13,FALSE),"")="Active",IFERROR(ISNUMBER(SEARCH($A53,IFERROR(VLOOKUP($O53,'Exceptions'!$A$5:$M$204,3,FALSE),""))),FALSE)))),"MISSING OR INVALID N/A DECISION",IF(AND($Q53=1,OR($H53="Partially met",$H53="Unmet"),OR($K53&lt;1,$L53&lt;&gt;"Yes")),"KNOWN RATING NEEDS FRESH E1",IF(AND($Q53=1,$H53="Met",OR($K53&lt;VALUE(RIGHT($G53,1)),$L53&lt;&gt;"Yes")),"EVIDENCE BELOW MINIMUM",IF(AND($Q53=1,OR($H53="",$H53="Unknown")),"UNASSESSED",IF(AND($H53="N/A",AND($P53&lt;&gt;"",$O53&lt;&gt;"",IFERROR(VLOOKUP($O53,'Exceptions'!$A$5:$M$204,2,FALSE),"")="N/A determination",IFERROR(VLOOKUP($O53,'Exceptions'!$A$5:$M$204,13,FALSE),"")="Active",IFERROR(ISNUMBER(SEARCH($A53,IFERROR(VLOOKUP($O53,'Exceptions'!$A$5:$M$204,3,FALSE),""))),FALSE))),"N/A APPROVED",IF($O53&lt;&gt;"","EXCEPTION REVIEW","OK")))))))</x:f>
      </x:c>
    </x:row>
    <x:row r="54">
      <x:c r="H54" s="8"/>
      <x:c r="I54" t="str">
        <x:f>IF($A54="","",IF($H54="Met",1,IF($H54="Partially met",0.5,IF(OR($H54="Unmet",$H54="Unknown"),0,""))))</x:f>
      </x:c>
      <x:c r="J54" s="8"/>
      <x:c r="K54" t="str">
        <x:f>IF($A54="","",IF($J54="E4",4,IF($J54="E3",3,IF($J54="E2",2,IF($J54="E1",1,0)))))</x:f>
      </x:c>
      <x:c r="L54" s="8"/>
      <x:c r="M54" s="8"/>
      <x:c r="N54" s="8"/>
      <x:c r="O54" s="8"/>
      <x:c r="P54" s="8"/>
      <x:c r="Q54" t="str">
        <x:f>IF($A54="","",IF($D54="Baseline",1,IF($D54="Elevated",IF(OR('Profile'!$B$11="Elevated",'Profile'!$B$11="Critical"),1,0),IF($D54="Critical",IF('Profile'!$B$11="Critical",1,0),1))))</x:f>
      </x:c>
      <x:c r="R54" t="str">
        <x:f>IF($A54="","",IF($Q54=0,0,IF($H54="N/A",0,IF($H54="Met",IF(AND($K54&gt;=VALUE(RIGHT($G54,1)),$L54="Yes"),1,0),IF($H54="Partially met",IF(AND($K54&gt;=1,$L54="Yes"),0.5,0),0)))))</x:f>
      </x:c>
      <x:c r="S54" t="str">
        <x:f>IF($A54="","",IF($Q54=0,0,IF($H54="N/A",IF(AND($P54&lt;&gt;"",$O54&lt;&gt;"",IFERROR(VLOOKUP($O54,'Exceptions'!$A$5:$M$204,2,FALSE),"")="N/A determination",IFERROR(VLOOKUP($O54,'Exceptions'!$A$5:$M$204,13,FALSE),"")="Active",IFERROR(ISNUMBER(SEARCH($A54,IFERROR(VLOOKUP($O54,'Exceptions'!$A$5:$M$204,3,FALSE),""))),FALSE)),0,1),1)))</x:f>
      </x:c>
      <x:c r="T54" t="str">
        <x:f>IF($A54="","",IF($C54="","",IF($H54="N/A",IF(AND($P54&lt;&gt;"",$O54&lt;&gt;"",IFERROR(VLOOKUP($O54,'Exceptions'!$A$5:$M$204,2,FALSE),"")="N/A determination",IFERROR(VLOOKUP($O54,'Exceptions'!$A$5:$M$204,13,FALSE),"")="Active",IFERROR(ISNUMBER(SEARCH($A54,IFERROR(VLOOKUP($O54,'Exceptions'!$A$5:$M$204,3,FALSE),""))),FALSE)),"N/A","FAIL"),IF(OR($H54="Unknown",$H54="",$K54=0,$L54&lt;&gt;"Yes"),"UNKNOWN",IF($H54="Met",IF($K54&gt;=VALUE(RIGHT($G54,1)),"PASS","UNKNOWN"),IF(OR($H54="Partially met",$H54="Unmet"),"FAIL","UNKNOWN"))))))</x:f>
      </x:c>
      <x:c r="U54" t="str">
        <x:f>IF($A54="","",IF($S54=0,0,IF(AND($K54&gt;=1,$L54="Yes"),1,0)))</x:f>
      </x:c>
      <x:c r="V54" t="str">
        <x:f>IF($A54="","",IF(OR($S54=0,$H54="N/A",$L54&lt;&gt;"Yes"),0,$K54))</x:f>
      </x:c>
      <x:c r="AB54" t="str">
        <x:f>IF($A54="","",IF(AND($Q54=1,$H54="N/A",NOT(AND($P54&lt;&gt;"",$O54&lt;&gt;"",IFERROR(VLOOKUP($O54,'Exceptions'!$A$5:$M$204,2,FALSE),"")="N/A determination",IFERROR(VLOOKUP($O54,'Exceptions'!$A$5:$M$204,13,FALSE),"")="Active",IFERROR(ISNUMBER(SEARCH($A54,IFERROR(VLOOKUP($O54,'Exceptions'!$A$5:$M$204,3,FALSE),""))),FALSE)))),"MISSING OR INVALID N/A DECISION",IF(AND($Q54=1,OR($H54="Partially met",$H54="Unmet"),OR($K54&lt;1,$L54&lt;&gt;"Yes")),"KNOWN RATING NEEDS FRESH E1",IF(AND($Q54=1,$H54="Met",OR($K54&lt;VALUE(RIGHT($G54,1)),$L54&lt;&gt;"Yes")),"EVIDENCE BELOW MINIMUM",IF(AND($Q54=1,OR($H54="",$H54="Unknown")),"UNASSESSED",IF(AND($H54="N/A",AND($P54&lt;&gt;"",$O54&lt;&gt;"",IFERROR(VLOOKUP($O54,'Exceptions'!$A$5:$M$204,2,FALSE),"")="N/A determination",IFERROR(VLOOKUP($O54,'Exceptions'!$A$5:$M$204,13,FALSE),"")="Active",IFERROR(ISNUMBER(SEARCH($A54,IFERROR(VLOOKUP($O54,'Exceptions'!$A$5:$M$204,3,FALSE),""))),FALSE))),"N/A APPROVED",IF($O54&lt;&gt;"","EXCEPTION REVIEW","OK")))))))</x:f>
      </x:c>
    </x:row>
    <x:row r="55">
      <x:c r="H55" s="8"/>
      <x:c r="I55" t="str">
        <x:f>IF($A55="","",IF($H55="Met",1,IF($H55="Partially met",0.5,IF(OR($H55="Unmet",$H55="Unknown"),0,""))))</x:f>
      </x:c>
      <x:c r="J55" s="8"/>
      <x:c r="K55" t="str">
        <x:f>IF($A55="","",IF($J55="E4",4,IF($J55="E3",3,IF($J55="E2",2,IF($J55="E1",1,0)))))</x:f>
      </x:c>
      <x:c r="L55" s="8"/>
      <x:c r="M55" s="8"/>
      <x:c r="N55" s="8"/>
      <x:c r="O55" s="8"/>
      <x:c r="P55" s="8"/>
      <x:c r="Q55" t="str">
        <x:f>IF($A55="","",IF($D55="Baseline",1,IF($D55="Elevated",IF(OR('Profile'!$B$11="Elevated",'Profile'!$B$11="Critical"),1,0),IF($D55="Critical",IF('Profile'!$B$11="Critical",1,0),1))))</x:f>
      </x:c>
      <x:c r="R55" t="str">
        <x:f>IF($A55="","",IF($Q55=0,0,IF($H55="N/A",0,IF($H55="Met",IF(AND($K55&gt;=VALUE(RIGHT($G55,1)),$L55="Yes"),1,0),IF($H55="Partially met",IF(AND($K55&gt;=1,$L55="Yes"),0.5,0),0)))))</x:f>
      </x:c>
      <x:c r="S55" t="str">
        <x:f>IF($A55="","",IF($Q55=0,0,IF($H55="N/A",IF(AND($P55&lt;&gt;"",$O55&lt;&gt;"",IFERROR(VLOOKUP($O55,'Exceptions'!$A$5:$M$204,2,FALSE),"")="N/A determination",IFERROR(VLOOKUP($O55,'Exceptions'!$A$5:$M$204,13,FALSE),"")="Active",IFERROR(ISNUMBER(SEARCH($A55,IFERROR(VLOOKUP($O55,'Exceptions'!$A$5:$M$204,3,FALSE),""))),FALSE)),0,1),1)))</x:f>
      </x:c>
      <x:c r="T55" t="str">
        <x:f>IF($A55="","",IF($C55="","",IF($H55="N/A",IF(AND($P55&lt;&gt;"",$O55&lt;&gt;"",IFERROR(VLOOKUP($O55,'Exceptions'!$A$5:$M$204,2,FALSE),"")="N/A determination",IFERROR(VLOOKUP($O55,'Exceptions'!$A$5:$M$204,13,FALSE),"")="Active",IFERROR(ISNUMBER(SEARCH($A55,IFERROR(VLOOKUP($O55,'Exceptions'!$A$5:$M$204,3,FALSE),""))),FALSE)),"N/A","FAIL"),IF(OR($H55="Unknown",$H55="",$K55=0,$L55&lt;&gt;"Yes"),"UNKNOWN",IF($H55="Met",IF($K55&gt;=VALUE(RIGHT($G55,1)),"PASS","UNKNOWN"),IF(OR($H55="Partially met",$H55="Unmet"),"FAIL","UNKNOWN"))))))</x:f>
      </x:c>
      <x:c r="U55" t="str">
        <x:f>IF($A55="","",IF($S55=0,0,IF(AND($K55&gt;=1,$L55="Yes"),1,0)))</x:f>
      </x:c>
      <x:c r="V55" t="str">
        <x:f>IF($A55="","",IF(OR($S55=0,$H55="N/A",$L55&lt;&gt;"Yes"),0,$K55))</x:f>
      </x:c>
      <x:c r="AB55" t="str">
        <x:f>IF($A55="","",IF(AND($Q55=1,$H55="N/A",NOT(AND($P55&lt;&gt;"",$O55&lt;&gt;"",IFERROR(VLOOKUP($O55,'Exceptions'!$A$5:$M$204,2,FALSE),"")="N/A determination",IFERROR(VLOOKUP($O55,'Exceptions'!$A$5:$M$204,13,FALSE),"")="Active",IFERROR(ISNUMBER(SEARCH($A55,IFERROR(VLOOKUP($O55,'Exceptions'!$A$5:$M$204,3,FALSE),""))),FALSE)))),"MISSING OR INVALID N/A DECISION",IF(AND($Q55=1,OR($H55="Partially met",$H55="Unmet"),OR($K55&lt;1,$L55&lt;&gt;"Yes")),"KNOWN RATING NEEDS FRESH E1",IF(AND($Q55=1,$H55="Met",OR($K55&lt;VALUE(RIGHT($G55,1)),$L55&lt;&gt;"Yes")),"EVIDENCE BELOW MINIMUM",IF(AND($Q55=1,OR($H55="",$H55="Unknown")),"UNASSESSED",IF(AND($H55="N/A",AND($P55&lt;&gt;"",$O55&lt;&gt;"",IFERROR(VLOOKUP($O55,'Exceptions'!$A$5:$M$204,2,FALSE),"")="N/A determination",IFERROR(VLOOKUP($O55,'Exceptions'!$A$5:$M$204,13,FALSE),"")="Active",IFERROR(ISNUMBER(SEARCH($A55,IFERROR(VLOOKUP($O55,'Exceptions'!$A$5:$M$204,3,FALSE),""))),FALSE))),"N/A APPROVED",IF($O55&lt;&gt;"","EXCEPTION REVIEW","OK")))))))</x:f>
      </x:c>
    </x:row>
    <x:row r="56">
      <x:c r="H56" s="8"/>
      <x:c r="I56" t="str">
        <x:f>IF($A56="","",IF($H56="Met",1,IF($H56="Partially met",0.5,IF(OR($H56="Unmet",$H56="Unknown"),0,""))))</x:f>
      </x:c>
      <x:c r="J56" s="8"/>
      <x:c r="K56" t="str">
        <x:f>IF($A56="","",IF($J56="E4",4,IF($J56="E3",3,IF($J56="E2",2,IF($J56="E1",1,0)))))</x:f>
      </x:c>
      <x:c r="L56" s="8"/>
      <x:c r="M56" s="8"/>
      <x:c r="N56" s="8"/>
      <x:c r="O56" s="8"/>
      <x:c r="P56" s="8"/>
      <x:c r="Q56" t="str">
        <x:f>IF($A56="","",IF($D56="Baseline",1,IF($D56="Elevated",IF(OR('Profile'!$B$11="Elevated",'Profile'!$B$11="Critical"),1,0),IF($D56="Critical",IF('Profile'!$B$11="Critical",1,0),1))))</x:f>
      </x:c>
      <x:c r="R56" t="str">
        <x:f>IF($A56="","",IF($Q56=0,0,IF($H56="N/A",0,IF($H56="Met",IF(AND($K56&gt;=VALUE(RIGHT($G56,1)),$L56="Yes"),1,0),IF($H56="Partially met",IF(AND($K56&gt;=1,$L56="Yes"),0.5,0),0)))))</x:f>
      </x:c>
      <x:c r="S56" t="str">
        <x:f>IF($A56="","",IF($Q56=0,0,IF($H56="N/A",IF(AND($P56&lt;&gt;"",$O56&lt;&gt;"",IFERROR(VLOOKUP($O56,'Exceptions'!$A$5:$M$204,2,FALSE),"")="N/A determination",IFERROR(VLOOKUP($O56,'Exceptions'!$A$5:$M$204,13,FALSE),"")="Active",IFERROR(ISNUMBER(SEARCH($A56,IFERROR(VLOOKUP($O56,'Exceptions'!$A$5:$M$204,3,FALSE),""))),FALSE)),0,1),1)))</x:f>
      </x:c>
      <x:c r="T56" t="str">
        <x:f>IF($A56="","",IF($C56="","",IF($H56="N/A",IF(AND($P56&lt;&gt;"",$O56&lt;&gt;"",IFERROR(VLOOKUP($O56,'Exceptions'!$A$5:$M$204,2,FALSE),"")="N/A determination",IFERROR(VLOOKUP($O56,'Exceptions'!$A$5:$M$204,13,FALSE),"")="Active",IFERROR(ISNUMBER(SEARCH($A56,IFERROR(VLOOKUP($O56,'Exceptions'!$A$5:$M$204,3,FALSE),""))),FALSE)),"N/A","FAIL"),IF(OR($H56="Unknown",$H56="",$K56=0,$L56&lt;&gt;"Yes"),"UNKNOWN",IF($H56="Met",IF($K56&gt;=VALUE(RIGHT($G56,1)),"PASS","UNKNOWN"),IF(OR($H56="Partially met",$H56="Unmet"),"FAIL","UNKNOWN"))))))</x:f>
      </x:c>
      <x:c r="U56" t="str">
        <x:f>IF($A56="","",IF($S56=0,0,IF(AND($K56&gt;=1,$L56="Yes"),1,0)))</x:f>
      </x:c>
      <x:c r="V56" t="str">
        <x:f>IF($A56="","",IF(OR($S56=0,$H56="N/A",$L56&lt;&gt;"Yes"),0,$K56))</x:f>
      </x:c>
      <x:c r="AB56" t="str">
        <x:f>IF($A56="","",IF(AND($Q56=1,$H56="N/A",NOT(AND($P56&lt;&gt;"",$O56&lt;&gt;"",IFERROR(VLOOKUP($O56,'Exceptions'!$A$5:$M$204,2,FALSE),"")="N/A determination",IFERROR(VLOOKUP($O56,'Exceptions'!$A$5:$M$204,13,FALSE),"")="Active",IFERROR(ISNUMBER(SEARCH($A56,IFERROR(VLOOKUP($O56,'Exceptions'!$A$5:$M$204,3,FALSE),""))),FALSE)))),"MISSING OR INVALID N/A DECISION",IF(AND($Q56=1,OR($H56="Partially met",$H56="Unmet"),OR($K56&lt;1,$L56&lt;&gt;"Yes")),"KNOWN RATING NEEDS FRESH E1",IF(AND($Q56=1,$H56="Met",OR($K56&lt;VALUE(RIGHT($G56,1)),$L56&lt;&gt;"Yes")),"EVIDENCE BELOW MINIMUM",IF(AND($Q56=1,OR($H56="",$H56="Unknown")),"UNASSESSED",IF(AND($H56="N/A",AND($P56&lt;&gt;"",$O56&lt;&gt;"",IFERROR(VLOOKUP($O56,'Exceptions'!$A$5:$M$204,2,FALSE),"")="N/A determination",IFERROR(VLOOKUP($O56,'Exceptions'!$A$5:$M$204,13,FALSE),"")="Active",IFERROR(ISNUMBER(SEARCH($A56,IFERROR(VLOOKUP($O56,'Exceptions'!$A$5:$M$204,3,FALSE),""))),FALSE))),"N/A APPROVED",IF($O56&lt;&gt;"","EXCEPTION REVIEW","OK")))))))</x:f>
      </x:c>
    </x:row>
    <x:row r="57">
      <x:c r="H57" s="8"/>
      <x:c r="I57" t="str">
        <x:f>IF($A57="","",IF($H57="Met",1,IF($H57="Partially met",0.5,IF(OR($H57="Unmet",$H57="Unknown"),0,""))))</x:f>
      </x:c>
      <x:c r="J57" s="8"/>
      <x:c r="K57" t="str">
        <x:f>IF($A57="","",IF($J57="E4",4,IF($J57="E3",3,IF($J57="E2",2,IF($J57="E1",1,0)))))</x:f>
      </x:c>
      <x:c r="L57" s="8"/>
      <x:c r="M57" s="8"/>
      <x:c r="N57" s="8"/>
      <x:c r="O57" s="8"/>
      <x:c r="P57" s="8"/>
      <x:c r="Q57" t="str">
        <x:f>IF($A57="","",IF($D57="Baseline",1,IF($D57="Elevated",IF(OR('Profile'!$B$11="Elevated",'Profile'!$B$11="Critical"),1,0),IF($D57="Critical",IF('Profile'!$B$11="Critical",1,0),1))))</x:f>
      </x:c>
      <x:c r="R57" t="str">
        <x:f>IF($A57="","",IF($Q57=0,0,IF($H57="N/A",0,IF($H57="Met",IF(AND($K57&gt;=VALUE(RIGHT($G57,1)),$L57="Yes"),1,0),IF($H57="Partially met",IF(AND($K57&gt;=1,$L57="Yes"),0.5,0),0)))))</x:f>
      </x:c>
      <x:c r="S57" t="str">
        <x:f>IF($A57="","",IF($Q57=0,0,IF($H57="N/A",IF(AND($P57&lt;&gt;"",$O57&lt;&gt;"",IFERROR(VLOOKUP($O57,'Exceptions'!$A$5:$M$204,2,FALSE),"")="N/A determination",IFERROR(VLOOKUP($O57,'Exceptions'!$A$5:$M$204,13,FALSE),"")="Active",IFERROR(ISNUMBER(SEARCH($A57,IFERROR(VLOOKUP($O57,'Exceptions'!$A$5:$M$204,3,FALSE),""))),FALSE)),0,1),1)))</x:f>
      </x:c>
      <x:c r="T57" t="str">
        <x:f>IF($A57="","",IF($C57="","",IF($H57="N/A",IF(AND($P57&lt;&gt;"",$O57&lt;&gt;"",IFERROR(VLOOKUP($O57,'Exceptions'!$A$5:$M$204,2,FALSE),"")="N/A determination",IFERROR(VLOOKUP($O57,'Exceptions'!$A$5:$M$204,13,FALSE),"")="Active",IFERROR(ISNUMBER(SEARCH($A57,IFERROR(VLOOKUP($O57,'Exceptions'!$A$5:$M$204,3,FALSE),""))),FALSE)),"N/A","FAIL"),IF(OR($H57="Unknown",$H57="",$K57=0,$L57&lt;&gt;"Yes"),"UNKNOWN",IF($H57="Met",IF($K57&gt;=VALUE(RIGHT($G57,1)),"PASS","UNKNOWN"),IF(OR($H57="Partially met",$H57="Unmet"),"FAIL","UNKNOWN"))))))</x:f>
      </x:c>
      <x:c r="U57" t="str">
        <x:f>IF($A57="","",IF($S57=0,0,IF(AND($K57&gt;=1,$L57="Yes"),1,0)))</x:f>
      </x:c>
      <x:c r="V57" t="str">
        <x:f>IF($A57="","",IF(OR($S57=0,$H57="N/A",$L57&lt;&gt;"Yes"),0,$K57))</x:f>
      </x:c>
      <x:c r="AB57" t="str">
        <x:f>IF($A57="","",IF(AND($Q57=1,$H57="N/A",NOT(AND($P57&lt;&gt;"",$O57&lt;&gt;"",IFERROR(VLOOKUP($O57,'Exceptions'!$A$5:$M$204,2,FALSE),"")="N/A determination",IFERROR(VLOOKUP($O57,'Exceptions'!$A$5:$M$204,13,FALSE),"")="Active",IFERROR(ISNUMBER(SEARCH($A57,IFERROR(VLOOKUP($O57,'Exceptions'!$A$5:$M$204,3,FALSE),""))),FALSE)))),"MISSING OR INVALID N/A DECISION",IF(AND($Q57=1,OR($H57="Partially met",$H57="Unmet"),OR($K57&lt;1,$L57&lt;&gt;"Yes")),"KNOWN RATING NEEDS FRESH E1",IF(AND($Q57=1,$H57="Met",OR($K57&lt;VALUE(RIGHT($G57,1)),$L57&lt;&gt;"Yes")),"EVIDENCE BELOW MINIMUM",IF(AND($Q57=1,OR($H57="",$H57="Unknown")),"UNASSESSED",IF(AND($H57="N/A",AND($P57&lt;&gt;"",$O57&lt;&gt;"",IFERROR(VLOOKUP($O57,'Exceptions'!$A$5:$M$204,2,FALSE),"")="N/A determination",IFERROR(VLOOKUP($O57,'Exceptions'!$A$5:$M$204,13,FALSE),"")="Active",IFERROR(ISNUMBER(SEARCH($A57,IFERROR(VLOOKUP($O57,'Exceptions'!$A$5:$M$204,3,FALSE),""))),FALSE))),"N/A APPROVED",IF($O57&lt;&gt;"","EXCEPTION REVIEW","OK")))))))</x:f>
      </x:c>
    </x:row>
    <x:row r="58">
      <x:c r="H58" s="8"/>
      <x:c r="I58" t="str">
        <x:f>IF($A58="","",IF($H58="Met",1,IF($H58="Partially met",0.5,IF(OR($H58="Unmet",$H58="Unknown"),0,""))))</x:f>
      </x:c>
      <x:c r="J58" s="8"/>
      <x:c r="K58" t="str">
        <x:f>IF($A58="","",IF($J58="E4",4,IF($J58="E3",3,IF($J58="E2",2,IF($J58="E1",1,0)))))</x:f>
      </x:c>
      <x:c r="L58" s="8"/>
      <x:c r="M58" s="8"/>
      <x:c r="N58" s="8"/>
      <x:c r="O58" s="8"/>
      <x:c r="P58" s="8"/>
      <x:c r="Q58" t="str">
        <x:f>IF($A58="","",IF($D58="Baseline",1,IF($D58="Elevated",IF(OR('Profile'!$B$11="Elevated",'Profile'!$B$11="Critical"),1,0),IF($D58="Critical",IF('Profile'!$B$11="Critical",1,0),1))))</x:f>
      </x:c>
      <x:c r="R58" t="str">
        <x:f>IF($A58="","",IF($Q58=0,0,IF($H58="N/A",0,IF($H58="Met",IF(AND($K58&gt;=VALUE(RIGHT($G58,1)),$L58="Yes"),1,0),IF($H58="Partially met",IF(AND($K58&gt;=1,$L58="Yes"),0.5,0),0)))))</x:f>
      </x:c>
      <x:c r="S58" t="str">
        <x:f>IF($A58="","",IF($Q58=0,0,IF($H58="N/A",IF(AND($P58&lt;&gt;"",$O58&lt;&gt;"",IFERROR(VLOOKUP($O58,'Exceptions'!$A$5:$M$204,2,FALSE),"")="N/A determination",IFERROR(VLOOKUP($O58,'Exceptions'!$A$5:$M$204,13,FALSE),"")="Active",IFERROR(ISNUMBER(SEARCH($A58,IFERROR(VLOOKUP($O58,'Exceptions'!$A$5:$M$204,3,FALSE),""))),FALSE)),0,1),1)))</x:f>
      </x:c>
      <x:c r="T58" t="str">
        <x:f>IF($A58="","",IF($C58="","",IF($H58="N/A",IF(AND($P58&lt;&gt;"",$O58&lt;&gt;"",IFERROR(VLOOKUP($O58,'Exceptions'!$A$5:$M$204,2,FALSE),"")="N/A determination",IFERROR(VLOOKUP($O58,'Exceptions'!$A$5:$M$204,13,FALSE),"")="Active",IFERROR(ISNUMBER(SEARCH($A58,IFERROR(VLOOKUP($O58,'Exceptions'!$A$5:$M$204,3,FALSE),""))),FALSE)),"N/A","FAIL"),IF(OR($H58="Unknown",$H58="",$K58=0,$L58&lt;&gt;"Yes"),"UNKNOWN",IF($H58="Met",IF($K58&gt;=VALUE(RIGHT($G58,1)),"PASS","UNKNOWN"),IF(OR($H58="Partially met",$H58="Unmet"),"FAIL","UNKNOWN"))))))</x:f>
      </x:c>
      <x:c r="U58" t="str">
        <x:f>IF($A58="","",IF($S58=0,0,IF(AND($K58&gt;=1,$L58="Yes"),1,0)))</x:f>
      </x:c>
      <x:c r="V58" t="str">
        <x:f>IF($A58="","",IF(OR($S58=0,$H58="N/A",$L58&lt;&gt;"Yes"),0,$K58))</x:f>
      </x:c>
      <x:c r="AB58" t="str">
        <x:f>IF($A58="","",IF(AND($Q58=1,$H58="N/A",NOT(AND($P58&lt;&gt;"",$O58&lt;&gt;"",IFERROR(VLOOKUP($O58,'Exceptions'!$A$5:$M$204,2,FALSE),"")="N/A determination",IFERROR(VLOOKUP($O58,'Exceptions'!$A$5:$M$204,13,FALSE),"")="Active",IFERROR(ISNUMBER(SEARCH($A58,IFERROR(VLOOKUP($O58,'Exceptions'!$A$5:$M$204,3,FALSE),""))),FALSE)))),"MISSING OR INVALID N/A DECISION",IF(AND($Q58=1,OR($H58="Partially met",$H58="Unmet"),OR($K58&lt;1,$L58&lt;&gt;"Yes")),"KNOWN RATING NEEDS FRESH E1",IF(AND($Q58=1,$H58="Met",OR($K58&lt;VALUE(RIGHT($G58,1)),$L58&lt;&gt;"Yes")),"EVIDENCE BELOW MINIMUM",IF(AND($Q58=1,OR($H58="",$H58="Unknown")),"UNASSESSED",IF(AND($H58="N/A",AND($P58&lt;&gt;"",$O58&lt;&gt;"",IFERROR(VLOOKUP($O58,'Exceptions'!$A$5:$M$204,2,FALSE),"")="N/A determination",IFERROR(VLOOKUP($O58,'Exceptions'!$A$5:$M$204,13,FALSE),"")="Active",IFERROR(ISNUMBER(SEARCH($A58,IFERROR(VLOOKUP($O58,'Exceptions'!$A$5:$M$204,3,FALSE),""))),FALSE))),"N/A APPROVED",IF($O58&lt;&gt;"","EXCEPTION REVIEW","OK")))))))</x:f>
      </x:c>
    </x:row>
    <x:row r="59">
      <x:c r="H59" s="8"/>
      <x:c r="I59" t="str">
        <x:f>IF($A59="","",IF($H59="Met",1,IF($H59="Partially met",0.5,IF(OR($H59="Unmet",$H59="Unknown"),0,""))))</x:f>
      </x:c>
      <x:c r="J59" s="8"/>
      <x:c r="K59" t="str">
        <x:f>IF($A59="","",IF($J59="E4",4,IF($J59="E3",3,IF($J59="E2",2,IF($J59="E1",1,0)))))</x:f>
      </x:c>
      <x:c r="L59" s="8"/>
      <x:c r="M59" s="8"/>
      <x:c r="N59" s="8"/>
      <x:c r="O59" s="8"/>
      <x:c r="P59" s="8"/>
      <x:c r="Q59" t="str">
        <x:f>IF($A59="","",IF($D59="Baseline",1,IF($D59="Elevated",IF(OR('Profile'!$B$11="Elevated",'Profile'!$B$11="Critical"),1,0),IF($D59="Critical",IF('Profile'!$B$11="Critical",1,0),1))))</x:f>
      </x:c>
      <x:c r="R59" t="str">
        <x:f>IF($A59="","",IF($Q59=0,0,IF($H59="N/A",0,IF($H59="Met",IF(AND($K59&gt;=VALUE(RIGHT($G59,1)),$L59="Yes"),1,0),IF($H59="Partially met",IF(AND($K59&gt;=1,$L59="Yes"),0.5,0),0)))))</x:f>
      </x:c>
      <x:c r="S59" t="str">
        <x:f>IF($A59="","",IF($Q59=0,0,IF($H59="N/A",IF(AND($P59&lt;&gt;"",$O59&lt;&gt;"",IFERROR(VLOOKUP($O59,'Exceptions'!$A$5:$M$204,2,FALSE),"")="N/A determination",IFERROR(VLOOKUP($O59,'Exceptions'!$A$5:$M$204,13,FALSE),"")="Active",IFERROR(ISNUMBER(SEARCH($A59,IFERROR(VLOOKUP($O59,'Exceptions'!$A$5:$M$204,3,FALSE),""))),FALSE)),0,1),1)))</x:f>
      </x:c>
      <x:c r="T59" t="str">
        <x:f>IF($A59="","",IF($C59="","",IF($H59="N/A",IF(AND($P59&lt;&gt;"",$O59&lt;&gt;"",IFERROR(VLOOKUP($O59,'Exceptions'!$A$5:$M$204,2,FALSE),"")="N/A determination",IFERROR(VLOOKUP($O59,'Exceptions'!$A$5:$M$204,13,FALSE),"")="Active",IFERROR(ISNUMBER(SEARCH($A59,IFERROR(VLOOKUP($O59,'Exceptions'!$A$5:$M$204,3,FALSE),""))),FALSE)),"N/A","FAIL"),IF(OR($H59="Unknown",$H59="",$K59=0,$L59&lt;&gt;"Yes"),"UNKNOWN",IF($H59="Met",IF($K59&gt;=VALUE(RIGHT($G59,1)),"PASS","UNKNOWN"),IF(OR($H59="Partially met",$H59="Unmet"),"FAIL","UNKNOWN"))))))</x:f>
      </x:c>
      <x:c r="U59" t="str">
        <x:f>IF($A59="","",IF($S59=0,0,IF(AND($K59&gt;=1,$L59="Yes"),1,0)))</x:f>
      </x:c>
      <x:c r="V59" t="str">
        <x:f>IF($A59="","",IF(OR($S59=0,$H59="N/A",$L59&lt;&gt;"Yes"),0,$K59))</x:f>
      </x:c>
      <x:c r="AB59" t="str">
        <x:f>IF($A59="","",IF(AND($Q59=1,$H59="N/A",NOT(AND($P59&lt;&gt;"",$O59&lt;&gt;"",IFERROR(VLOOKUP($O59,'Exceptions'!$A$5:$M$204,2,FALSE),"")="N/A determination",IFERROR(VLOOKUP($O59,'Exceptions'!$A$5:$M$204,13,FALSE),"")="Active",IFERROR(ISNUMBER(SEARCH($A59,IFERROR(VLOOKUP($O59,'Exceptions'!$A$5:$M$204,3,FALSE),""))),FALSE)))),"MISSING OR INVALID N/A DECISION",IF(AND($Q59=1,OR($H59="Partially met",$H59="Unmet"),OR($K59&lt;1,$L59&lt;&gt;"Yes")),"KNOWN RATING NEEDS FRESH E1",IF(AND($Q59=1,$H59="Met",OR($K59&lt;VALUE(RIGHT($G59,1)),$L59&lt;&gt;"Yes")),"EVIDENCE BELOW MINIMUM",IF(AND($Q59=1,OR($H59="",$H59="Unknown")),"UNASSESSED",IF(AND($H59="N/A",AND($P59&lt;&gt;"",$O59&lt;&gt;"",IFERROR(VLOOKUP($O59,'Exceptions'!$A$5:$M$204,2,FALSE),"")="N/A determination",IFERROR(VLOOKUP($O59,'Exceptions'!$A$5:$M$204,13,FALSE),"")="Active",IFERROR(ISNUMBER(SEARCH($A59,IFERROR(VLOOKUP($O59,'Exceptions'!$A$5:$M$204,3,FALSE),""))),FALSE))),"N/A APPROVED",IF($O59&lt;&gt;"","EXCEPTION REVIEW","OK")))))))</x:f>
      </x:c>
    </x:row>
    <x:row r="60">
      <x:c r="H60" s="8"/>
      <x:c r="I60" t="str">
        <x:f>IF($A60="","",IF($H60="Met",1,IF($H60="Partially met",0.5,IF(OR($H60="Unmet",$H60="Unknown"),0,""))))</x:f>
      </x:c>
      <x:c r="J60" s="8"/>
      <x:c r="K60" t="str">
        <x:f>IF($A60="","",IF($J60="E4",4,IF($J60="E3",3,IF($J60="E2",2,IF($J60="E1",1,0)))))</x:f>
      </x:c>
      <x:c r="L60" s="8"/>
      <x:c r="M60" s="8"/>
      <x:c r="N60" s="8"/>
      <x:c r="O60" s="8"/>
      <x:c r="P60" s="8"/>
      <x:c r="Q60" t="str">
        <x:f>IF($A60="","",IF($D60="Baseline",1,IF($D60="Elevated",IF(OR('Profile'!$B$11="Elevated",'Profile'!$B$11="Critical"),1,0),IF($D60="Critical",IF('Profile'!$B$11="Critical",1,0),1))))</x:f>
      </x:c>
      <x:c r="R60" t="str">
        <x:f>IF($A60="","",IF($Q60=0,0,IF($H60="N/A",0,IF($H60="Met",IF(AND($K60&gt;=VALUE(RIGHT($G60,1)),$L60="Yes"),1,0),IF($H60="Partially met",IF(AND($K60&gt;=1,$L60="Yes"),0.5,0),0)))))</x:f>
      </x:c>
      <x:c r="S60" t="str">
        <x:f>IF($A60="","",IF($Q60=0,0,IF($H60="N/A",IF(AND($P60&lt;&gt;"",$O60&lt;&gt;"",IFERROR(VLOOKUP($O60,'Exceptions'!$A$5:$M$204,2,FALSE),"")="N/A determination",IFERROR(VLOOKUP($O60,'Exceptions'!$A$5:$M$204,13,FALSE),"")="Active",IFERROR(ISNUMBER(SEARCH($A60,IFERROR(VLOOKUP($O60,'Exceptions'!$A$5:$M$204,3,FALSE),""))),FALSE)),0,1),1)))</x:f>
      </x:c>
      <x:c r="T60" t="str">
        <x:f>IF($A60="","",IF($C60="","",IF($H60="N/A",IF(AND($P60&lt;&gt;"",$O60&lt;&gt;"",IFERROR(VLOOKUP($O60,'Exceptions'!$A$5:$M$204,2,FALSE),"")="N/A determination",IFERROR(VLOOKUP($O60,'Exceptions'!$A$5:$M$204,13,FALSE),"")="Active",IFERROR(ISNUMBER(SEARCH($A60,IFERROR(VLOOKUP($O60,'Exceptions'!$A$5:$M$204,3,FALSE),""))),FALSE)),"N/A","FAIL"),IF(OR($H60="Unknown",$H60="",$K60=0,$L60&lt;&gt;"Yes"),"UNKNOWN",IF($H60="Met",IF($K60&gt;=VALUE(RIGHT($G60,1)),"PASS","UNKNOWN"),IF(OR($H60="Partially met",$H60="Unmet"),"FAIL","UNKNOWN"))))))</x:f>
      </x:c>
      <x:c r="U60" t="str">
        <x:f>IF($A60="","",IF($S60=0,0,IF(AND($K60&gt;=1,$L60="Yes"),1,0)))</x:f>
      </x:c>
      <x:c r="V60" t="str">
        <x:f>IF($A60="","",IF(OR($S60=0,$H60="N/A",$L60&lt;&gt;"Yes"),0,$K60))</x:f>
      </x:c>
      <x:c r="AB60" t="str">
        <x:f>IF($A60="","",IF(AND($Q60=1,$H60="N/A",NOT(AND($P60&lt;&gt;"",$O60&lt;&gt;"",IFERROR(VLOOKUP($O60,'Exceptions'!$A$5:$M$204,2,FALSE),"")="N/A determination",IFERROR(VLOOKUP($O60,'Exceptions'!$A$5:$M$204,13,FALSE),"")="Active",IFERROR(ISNUMBER(SEARCH($A60,IFERROR(VLOOKUP($O60,'Exceptions'!$A$5:$M$204,3,FALSE),""))),FALSE)))),"MISSING OR INVALID N/A DECISION",IF(AND($Q60=1,OR($H60="Partially met",$H60="Unmet"),OR($K60&lt;1,$L60&lt;&gt;"Yes")),"KNOWN RATING NEEDS FRESH E1",IF(AND($Q60=1,$H60="Met",OR($K60&lt;VALUE(RIGHT($G60,1)),$L60&lt;&gt;"Yes")),"EVIDENCE BELOW MINIMUM",IF(AND($Q60=1,OR($H60="",$H60="Unknown")),"UNASSESSED",IF(AND($H60="N/A",AND($P60&lt;&gt;"",$O60&lt;&gt;"",IFERROR(VLOOKUP($O60,'Exceptions'!$A$5:$M$204,2,FALSE),"")="N/A determination",IFERROR(VLOOKUP($O60,'Exceptions'!$A$5:$M$204,13,FALSE),"")="Active",IFERROR(ISNUMBER(SEARCH($A60,IFERROR(VLOOKUP($O60,'Exceptions'!$A$5:$M$204,3,FALSE),""))),FALSE))),"N/A APPROVED",IF($O60&lt;&gt;"","EXCEPTION REVIEW","OK")))))))</x:f>
      </x:c>
    </x:row>
    <x:row r="61">
      <x:c r="H61" s="8"/>
      <x:c r="I61" t="str">
        <x:f>IF($A61="","",IF($H61="Met",1,IF($H61="Partially met",0.5,IF(OR($H61="Unmet",$H61="Unknown"),0,""))))</x:f>
      </x:c>
      <x:c r="J61" s="8"/>
      <x:c r="K61" t="str">
        <x:f>IF($A61="","",IF($J61="E4",4,IF($J61="E3",3,IF($J61="E2",2,IF($J61="E1",1,0)))))</x:f>
      </x:c>
      <x:c r="L61" s="8"/>
      <x:c r="M61" s="8"/>
      <x:c r="N61" s="8"/>
      <x:c r="O61" s="8"/>
      <x:c r="P61" s="8"/>
      <x:c r="Q61" t="str">
        <x:f>IF($A61="","",IF($D61="Baseline",1,IF($D61="Elevated",IF(OR('Profile'!$B$11="Elevated",'Profile'!$B$11="Critical"),1,0),IF($D61="Critical",IF('Profile'!$B$11="Critical",1,0),1))))</x:f>
      </x:c>
      <x:c r="R61" t="str">
        <x:f>IF($A61="","",IF($Q61=0,0,IF($H61="N/A",0,IF($H61="Met",IF(AND($K61&gt;=VALUE(RIGHT($G61,1)),$L61="Yes"),1,0),IF($H61="Partially met",IF(AND($K61&gt;=1,$L61="Yes"),0.5,0),0)))))</x:f>
      </x:c>
      <x:c r="S61" t="str">
        <x:f>IF($A61="","",IF($Q61=0,0,IF($H61="N/A",IF(AND($P61&lt;&gt;"",$O61&lt;&gt;"",IFERROR(VLOOKUP($O61,'Exceptions'!$A$5:$M$204,2,FALSE),"")="N/A determination",IFERROR(VLOOKUP($O61,'Exceptions'!$A$5:$M$204,13,FALSE),"")="Active",IFERROR(ISNUMBER(SEARCH($A61,IFERROR(VLOOKUP($O61,'Exceptions'!$A$5:$M$204,3,FALSE),""))),FALSE)),0,1),1)))</x:f>
      </x:c>
      <x:c r="T61" t="str">
        <x:f>IF($A61="","",IF($C61="","",IF($H61="N/A",IF(AND($P61&lt;&gt;"",$O61&lt;&gt;"",IFERROR(VLOOKUP($O61,'Exceptions'!$A$5:$M$204,2,FALSE),"")="N/A determination",IFERROR(VLOOKUP($O61,'Exceptions'!$A$5:$M$204,13,FALSE),"")="Active",IFERROR(ISNUMBER(SEARCH($A61,IFERROR(VLOOKUP($O61,'Exceptions'!$A$5:$M$204,3,FALSE),""))),FALSE)),"N/A","FAIL"),IF(OR($H61="Unknown",$H61="",$K61=0,$L61&lt;&gt;"Yes"),"UNKNOWN",IF($H61="Met",IF($K61&gt;=VALUE(RIGHT($G61,1)),"PASS","UNKNOWN"),IF(OR($H61="Partially met",$H61="Unmet"),"FAIL","UNKNOWN"))))))</x:f>
      </x:c>
      <x:c r="U61" t="str">
        <x:f>IF($A61="","",IF($S61=0,0,IF(AND($K61&gt;=1,$L61="Yes"),1,0)))</x:f>
      </x:c>
      <x:c r="V61" t="str">
        <x:f>IF($A61="","",IF(OR($S61=0,$H61="N/A",$L61&lt;&gt;"Yes"),0,$K61))</x:f>
      </x:c>
      <x:c r="AB61" t="str">
        <x:f>IF($A61="","",IF(AND($Q61=1,$H61="N/A",NOT(AND($P61&lt;&gt;"",$O61&lt;&gt;"",IFERROR(VLOOKUP($O61,'Exceptions'!$A$5:$M$204,2,FALSE),"")="N/A determination",IFERROR(VLOOKUP($O61,'Exceptions'!$A$5:$M$204,13,FALSE),"")="Active",IFERROR(ISNUMBER(SEARCH($A61,IFERROR(VLOOKUP($O61,'Exceptions'!$A$5:$M$204,3,FALSE),""))),FALSE)))),"MISSING OR INVALID N/A DECISION",IF(AND($Q61=1,OR($H61="Partially met",$H61="Unmet"),OR($K61&lt;1,$L61&lt;&gt;"Yes")),"KNOWN RATING NEEDS FRESH E1",IF(AND($Q61=1,$H61="Met",OR($K61&lt;VALUE(RIGHT($G61,1)),$L61&lt;&gt;"Yes")),"EVIDENCE BELOW MINIMUM",IF(AND($Q61=1,OR($H61="",$H61="Unknown")),"UNASSESSED",IF(AND($H61="N/A",AND($P61&lt;&gt;"",$O61&lt;&gt;"",IFERROR(VLOOKUP($O61,'Exceptions'!$A$5:$M$204,2,FALSE),"")="N/A determination",IFERROR(VLOOKUP($O61,'Exceptions'!$A$5:$M$204,13,FALSE),"")="Active",IFERROR(ISNUMBER(SEARCH($A61,IFERROR(VLOOKUP($O61,'Exceptions'!$A$5:$M$204,3,FALSE),""))),FALSE))),"N/A APPROVED",IF($O61&lt;&gt;"","EXCEPTION REVIEW","OK")))))))</x:f>
      </x:c>
    </x:row>
    <x:row r="62">
      <x:c r="H62" s="8"/>
      <x:c r="I62" t="str">
        <x:f>IF($A62="","",IF($H62="Met",1,IF($H62="Partially met",0.5,IF(OR($H62="Unmet",$H62="Unknown"),0,""))))</x:f>
      </x:c>
      <x:c r="J62" s="8"/>
      <x:c r="K62" t="str">
        <x:f>IF($A62="","",IF($J62="E4",4,IF($J62="E3",3,IF($J62="E2",2,IF($J62="E1",1,0)))))</x:f>
      </x:c>
      <x:c r="L62" s="8"/>
      <x:c r="M62" s="8"/>
      <x:c r="N62" s="8"/>
      <x:c r="O62" s="8"/>
      <x:c r="P62" s="8"/>
      <x:c r="Q62" t="str">
        <x:f>IF($A62="","",IF($D62="Baseline",1,IF($D62="Elevated",IF(OR('Profile'!$B$11="Elevated",'Profile'!$B$11="Critical"),1,0),IF($D62="Critical",IF('Profile'!$B$11="Critical",1,0),1))))</x:f>
      </x:c>
      <x:c r="R62" t="str">
        <x:f>IF($A62="","",IF($Q62=0,0,IF($H62="N/A",0,IF($H62="Met",IF(AND($K62&gt;=VALUE(RIGHT($G62,1)),$L62="Yes"),1,0),IF($H62="Partially met",IF(AND($K62&gt;=1,$L62="Yes"),0.5,0),0)))))</x:f>
      </x:c>
      <x:c r="S62" t="str">
        <x:f>IF($A62="","",IF($Q62=0,0,IF($H62="N/A",IF(AND($P62&lt;&gt;"",$O62&lt;&gt;"",IFERROR(VLOOKUP($O62,'Exceptions'!$A$5:$M$204,2,FALSE),"")="N/A determination",IFERROR(VLOOKUP($O62,'Exceptions'!$A$5:$M$204,13,FALSE),"")="Active",IFERROR(ISNUMBER(SEARCH($A62,IFERROR(VLOOKUP($O62,'Exceptions'!$A$5:$M$204,3,FALSE),""))),FALSE)),0,1),1)))</x:f>
      </x:c>
      <x:c r="T62" t="str">
        <x:f>IF($A62="","",IF($C62="","",IF($H62="N/A",IF(AND($P62&lt;&gt;"",$O62&lt;&gt;"",IFERROR(VLOOKUP($O62,'Exceptions'!$A$5:$M$204,2,FALSE),"")="N/A determination",IFERROR(VLOOKUP($O62,'Exceptions'!$A$5:$M$204,13,FALSE),"")="Active",IFERROR(ISNUMBER(SEARCH($A62,IFERROR(VLOOKUP($O62,'Exceptions'!$A$5:$M$204,3,FALSE),""))),FALSE)),"N/A","FAIL"),IF(OR($H62="Unknown",$H62="",$K62=0,$L62&lt;&gt;"Yes"),"UNKNOWN",IF($H62="Met",IF($K62&gt;=VALUE(RIGHT($G62,1)),"PASS","UNKNOWN"),IF(OR($H62="Partially met",$H62="Unmet"),"FAIL","UNKNOWN"))))))</x:f>
      </x:c>
      <x:c r="U62" t="str">
        <x:f>IF($A62="","",IF($S62=0,0,IF(AND($K62&gt;=1,$L62="Yes"),1,0)))</x:f>
      </x:c>
      <x:c r="V62" t="str">
        <x:f>IF($A62="","",IF(OR($S62=0,$H62="N/A",$L62&lt;&gt;"Yes"),0,$K62))</x:f>
      </x:c>
      <x:c r="AB62" t="str">
        <x:f>IF($A62="","",IF(AND($Q62=1,$H62="N/A",NOT(AND($P62&lt;&gt;"",$O62&lt;&gt;"",IFERROR(VLOOKUP($O62,'Exceptions'!$A$5:$M$204,2,FALSE),"")="N/A determination",IFERROR(VLOOKUP($O62,'Exceptions'!$A$5:$M$204,13,FALSE),"")="Active",IFERROR(ISNUMBER(SEARCH($A62,IFERROR(VLOOKUP($O62,'Exceptions'!$A$5:$M$204,3,FALSE),""))),FALSE)))),"MISSING OR INVALID N/A DECISION",IF(AND($Q62=1,OR($H62="Partially met",$H62="Unmet"),OR($K62&lt;1,$L62&lt;&gt;"Yes")),"KNOWN RATING NEEDS FRESH E1",IF(AND($Q62=1,$H62="Met",OR($K62&lt;VALUE(RIGHT($G62,1)),$L62&lt;&gt;"Yes")),"EVIDENCE BELOW MINIMUM",IF(AND($Q62=1,OR($H62="",$H62="Unknown")),"UNASSESSED",IF(AND($H62="N/A",AND($P62&lt;&gt;"",$O62&lt;&gt;"",IFERROR(VLOOKUP($O62,'Exceptions'!$A$5:$M$204,2,FALSE),"")="N/A determination",IFERROR(VLOOKUP($O62,'Exceptions'!$A$5:$M$204,13,FALSE),"")="Active",IFERROR(ISNUMBER(SEARCH($A62,IFERROR(VLOOKUP($O62,'Exceptions'!$A$5:$M$204,3,FALSE),""))),FALSE))),"N/A APPROVED",IF($O62&lt;&gt;"","EXCEPTION REVIEW","OK")))))))</x:f>
      </x:c>
    </x:row>
    <x:row r="63">
      <x:c r="H63" s="8"/>
      <x:c r="I63" t="str">
        <x:f>IF($A63="","",IF($H63="Met",1,IF($H63="Partially met",0.5,IF(OR($H63="Unmet",$H63="Unknown"),0,""))))</x:f>
      </x:c>
      <x:c r="J63" s="8"/>
      <x:c r="K63" t="str">
        <x:f>IF($A63="","",IF($J63="E4",4,IF($J63="E3",3,IF($J63="E2",2,IF($J63="E1",1,0)))))</x:f>
      </x:c>
      <x:c r="L63" s="8"/>
      <x:c r="M63" s="8"/>
      <x:c r="N63" s="8"/>
      <x:c r="O63" s="8"/>
      <x:c r="P63" s="8"/>
      <x:c r="Q63" t="str">
        <x:f>IF($A63="","",IF($D63="Baseline",1,IF($D63="Elevated",IF(OR('Profile'!$B$11="Elevated",'Profile'!$B$11="Critical"),1,0),IF($D63="Critical",IF('Profile'!$B$11="Critical",1,0),1))))</x:f>
      </x:c>
      <x:c r="R63" t="str">
        <x:f>IF($A63="","",IF($Q63=0,0,IF($H63="N/A",0,IF($H63="Met",IF(AND($K63&gt;=VALUE(RIGHT($G63,1)),$L63="Yes"),1,0),IF($H63="Partially met",IF(AND($K63&gt;=1,$L63="Yes"),0.5,0),0)))))</x:f>
      </x:c>
      <x:c r="S63" t="str">
        <x:f>IF($A63="","",IF($Q63=0,0,IF($H63="N/A",IF(AND($P63&lt;&gt;"",$O63&lt;&gt;"",IFERROR(VLOOKUP($O63,'Exceptions'!$A$5:$M$204,2,FALSE),"")="N/A determination",IFERROR(VLOOKUP($O63,'Exceptions'!$A$5:$M$204,13,FALSE),"")="Active",IFERROR(ISNUMBER(SEARCH($A63,IFERROR(VLOOKUP($O63,'Exceptions'!$A$5:$M$204,3,FALSE),""))),FALSE)),0,1),1)))</x:f>
      </x:c>
      <x:c r="T63" t="str">
        <x:f>IF($A63="","",IF($C63="","",IF($H63="N/A",IF(AND($P63&lt;&gt;"",$O63&lt;&gt;"",IFERROR(VLOOKUP($O63,'Exceptions'!$A$5:$M$204,2,FALSE),"")="N/A determination",IFERROR(VLOOKUP($O63,'Exceptions'!$A$5:$M$204,13,FALSE),"")="Active",IFERROR(ISNUMBER(SEARCH($A63,IFERROR(VLOOKUP($O63,'Exceptions'!$A$5:$M$204,3,FALSE),""))),FALSE)),"N/A","FAIL"),IF(OR($H63="Unknown",$H63="",$K63=0,$L63&lt;&gt;"Yes"),"UNKNOWN",IF($H63="Met",IF($K63&gt;=VALUE(RIGHT($G63,1)),"PASS","UNKNOWN"),IF(OR($H63="Partially met",$H63="Unmet"),"FAIL","UNKNOWN"))))))</x:f>
      </x:c>
      <x:c r="U63" t="str">
        <x:f>IF($A63="","",IF($S63=0,0,IF(AND($K63&gt;=1,$L63="Yes"),1,0)))</x:f>
      </x:c>
      <x:c r="V63" t="str">
        <x:f>IF($A63="","",IF(OR($S63=0,$H63="N/A",$L63&lt;&gt;"Yes"),0,$K63))</x:f>
      </x:c>
      <x:c r="AB63" t="str">
        <x:f>IF($A63="","",IF(AND($Q63=1,$H63="N/A",NOT(AND($P63&lt;&gt;"",$O63&lt;&gt;"",IFERROR(VLOOKUP($O63,'Exceptions'!$A$5:$M$204,2,FALSE),"")="N/A determination",IFERROR(VLOOKUP($O63,'Exceptions'!$A$5:$M$204,13,FALSE),"")="Active",IFERROR(ISNUMBER(SEARCH($A63,IFERROR(VLOOKUP($O63,'Exceptions'!$A$5:$M$204,3,FALSE),""))),FALSE)))),"MISSING OR INVALID N/A DECISION",IF(AND($Q63=1,OR($H63="Partially met",$H63="Unmet"),OR($K63&lt;1,$L63&lt;&gt;"Yes")),"KNOWN RATING NEEDS FRESH E1",IF(AND($Q63=1,$H63="Met",OR($K63&lt;VALUE(RIGHT($G63,1)),$L63&lt;&gt;"Yes")),"EVIDENCE BELOW MINIMUM",IF(AND($Q63=1,OR($H63="",$H63="Unknown")),"UNASSESSED",IF(AND($H63="N/A",AND($P63&lt;&gt;"",$O63&lt;&gt;"",IFERROR(VLOOKUP($O63,'Exceptions'!$A$5:$M$204,2,FALSE),"")="N/A determination",IFERROR(VLOOKUP($O63,'Exceptions'!$A$5:$M$204,13,FALSE),"")="Active",IFERROR(ISNUMBER(SEARCH($A63,IFERROR(VLOOKUP($O63,'Exceptions'!$A$5:$M$204,3,FALSE),""))),FALSE))),"N/A APPROVED",IF($O63&lt;&gt;"","EXCEPTION REVIEW","OK")))))))</x:f>
      </x:c>
    </x:row>
    <x:row r="64">
      <x:c r="H64" s="8"/>
      <x:c r="I64" t="str">
        <x:f>IF($A64="","",IF($H64="Met",1,IF($H64="Partially met",0.5,IF(OR($H64="Unmet",$H64="Unknown"),0,""))))</x:f>
      </x:c>
      <x:c r="J64" s="8"/>
      <x:c r="K64" t="str">
        <x:f>IF($A64="","",IF($J64="E4",4,IF($J64="E3",3,IF($J64="E2",2,IF($J64="E1",1,0)))))</x:f>
      </x:c>
      <x:c r="L64" s="8"/>
      <x:c r="M64" s="8"/>
      <x:c r="N64" s="8"/>
      <x:c r="O64" s="8"/>
      <x:c r="P64" s="8"/>
      <x:c r="Q64" t="str">
        <x:f>IF($A64="","",IF($D64="Baseline",1,IF($D64="Elevated",IF(OR('Profile'!$B$11="Elevated",'Profile'!$B$11="Critical"),1,0),IF($D64="Critical",IF('Profile'!$B$11="Critical",1,0),1))))</x:f>
      </x:c>
      <x:c r="R64" t="str">
        <x:f>IF($A64="","",IF($Q64=0,0,IF($H64="N/A",0,IF($H64="Met",IF(AND($K64&gt;=VALUE(RIGHT($G64,1)),$L64="Yes"),1,0),IF($H64="Partially met",IF(AND($K64&gt;=1,$L64="Yes"),0.5,0),0)))))</x:f>
      </x:c>
      <x:c r="S64" t="str">
        <x:f>IF($A64="","",IF($Q64=0,0,IF($H64="N/A",IF(AND($P64&lt;&gt;"",$O64&lt;&gt;"",IFERROR(VLOOKUP($O64,'Exceptions'!$A$5:$M$204,2,FALSE),"")="N/A determination",IFERROR(VLOOKUP($O64,'Exceptions'!$A$5:$M$204,13,FALSE),"")="Active",IFERROR(ISNUMBER(SEARCH($A64,IFERROR(VLOOKUP($O64,'Exceptions'!$A$5:$M$204,3,FALSE),""))),FALSE)),0,1),1)))</x:f>
      </x:c>
      <x:c r="T64" t="str">
        <x:f>IF($A64="","",IF($C64="","",IF($H64="N/A",IF(AND($P64&lt;&gt;"",$O64&lt;&gt;"",IFERROR(VLOOKUP($O64,'Exceptions'!$A$5:$M$204,2,FALSE),"")="N/A determination",IFERROR(VLOOKUP($O64,'Exceptions'!$A$5:$M$204,13,FALSE),"")="Active",IFERROR(ISNUMBER(SEARCH($A64,IFERROR(VLOOKUP($O64,'Exceptions'!$A$5:$M$204,3,FALSE),""))),FALSE)),"N/A","FAIL"),IF(OR($H64="Unknown",$H64="",$K64=0,$L64&lt;&gt;"Yes"),"UNKNOWN",IF($H64="Met",IF($K64&gt;=VALUE(RIGHT($G64,1)),"PASS","UNKNOWN"),IF(OR($H64="Partially met",$H64="Unmet"),"FAIL","UNKNOWN"))))))</x:f>
      </x:c>
      <x:c r="U64" t="str">
        <x:f>IF($A64="","",IF($S64=0,0,IF(AND($K64&gt;=1,$L64="Yes"),1,0)))</x:f>
      </x:c>
      <x:c r="V64" t="str">
        <x:f>IF($A64="","",IF(OR($S64=0,$H64="N/A",$L64&lt;&gt;"Yes"),0,$K64))</x:f>
      </x:c>
      <x:c r="AB64" t="str">
        <x:f>IF($A64="","",IF(AND($Q64=1,$H64="N/A",NOT(AND($P64&lt;&gt;"",$O64&lt;&gt;"",IFERROR(VLOOKUP($O64,'Exceptions'!$A$5:$M$204,2,FALSE),"")="N/A determination",IFERROR(VLOOKUP($O64,'Exceptions'!$A$5:$M$204,13,FALSE),"")="Active",IFERROR(ISNUMBER(SEARCH($A64,IFERROR(VLOOKUP($O64,'Exceptions'!$A$5:$M$204,3,FALSE),""))),FALSE)))),"MISSING OR INVALID N/A DECISION",IF(AND($Q64=1,OR($H64="Partially met",$H64="Unmet"),OR($K64&lt;1,$L64&lt;&gt;"Yes")),"KNOWN RATING NEEDS FRESH E1",IF(AND($Q64=1,$H64="Met",OR($K64&lt;VALUE(RIGHT($G64,1)),$L64&lt;&gt;"Yes")),"EVIDENCE BELOW MINIMUM",IF(AND($Q64=1,OR($H64="",$H64="Unknown")),"UNASSESSED",IF(AND($H64="N/A",AND($P64&lt;&gt;"",$O64&lt;&gt;"",IFERROR(VLOOKUP($O64,'Exceptions'!$A$5:$M$204,2,FALSE),"")="N/A determination",IFERROR(VLOOKUP($O64,'Exceptions'!$A$5:$M$204,13,FALSE),"")="Active",IFERROR(ISNUMBER(SEARCH($A64,IFERROR(VLOOKUP($O64,'Exceptions'!$A$5:$M$204,3,FALSE),""))),FALSE))),"N/A APPROVED",IF($O64&lt;&gt;"","EXCEPTION REVIEW","OK")))))))</x:f>
      </x:c>
    </x:row>
    <x:row r="65">
      <x:c r="H65" s="8"/>
      <x:c r="I65" t="str">
        <x:f>IF($A65="","",IF($H65="Met",1,IF($H65="Partially met",0.5,IF(OR($H65="Unmet",$H65="Unknown"),0,""))))</x:f>
      </x:c>
      <x:c r="J65" s="8"/>
      <x:c r="K65" t="str">
        <x:f>IF($A65="","",IF($J65="E4",4,IF($J65="E3",3,IF($J65="E2",2,IF($J65="E1",1,0)))))</x:f>
      </x:c>
      <x:c r="L65" s="8"/>
      <x:c r="M65" s="8"/>
      <x:c r="N65" s="8"/>
      <x:c r="O65" s="8"/>
      <x:c r="P65" s="8"/>
      <x:c r="Q65" t="str">
        <x:f>IF($A65="","",IF($D65="Baseline",1,IF($D65="Elevated",IF(OR('Profile'!$B$11="Elevated",'Profile'!$B$11="Critical"),1,0),IF($D65="Critical",IF('Profile'!$B$11="Critical",1,0),1))))</x:f>
      </x:c>
      <x:c r="R65" t="str">
        <x:f>IF($A65="","",IF($Q65=0,0,IF($H65="N/A",0,IF($H65="Met",IF(AND($K65&gt;=VALUE(RIGHT($G65,1)),$L65="Yes"),1,0),IF($H65="Partially met",IF(AND($K65&gt;=1,$L65="Yes"),0.5,0),0)))))</x:f>
      </x:c>
      <x:c r="S65" t="str">
        <x:f>IF($A65="","",IF($Q65=0,0,IF($H65="N/A",IF(AND($P65&lt;&gt;"",$O65&lt;&gt;"",IFERROR(VLOOKUP($O65,'Exceptions'!$A$5:$M$204,2,FALSE),"")="N/A determination",IFERROR(VLOOKUP($O65,'Exceptions'!$A$5:$M$204,13,FALSE),"")="Active",IFERROR(ISNUMBER(SEARCH($A65,IFERROR(VLOOKUP($O65,'Exceptions'!$A$5:$M$204,3,FALSE),""))),FALSE)),0,1),1)))</x:f>
      </x:c>
      <x:c r="T65" t="str">
        <x:f>IF($A65="","",IF($C65="","",IF($H65="N/A",IF(AND($P65&lt;&gt;"",$O65&lt;&gt;"",IFERROR(VLOOKUP($O65,'Exceptions'!$A$5:$M$204,2,FALSE),"")="N/A determination",IFERROR(VLOOKUP($O65,'Exceptions'!$A$5:$M$204,13,FALSE),"")="Active",IFERROR(ISNUMBER(SEARCH($A65,IFERROR(VLOOKUP($O65,'Exceptions'!$A$5:$M$204,3,FALSE),""))),FALSE)),"N/A","FAIL"),IF(OR($H65="Unknown",$H65="",$K65=0,$L65&lt;&gt;"Yes"),"UNKNOWN",IF($H65="Met",IF($K65&gt;=VALUE(RIGHT($G65,1)),"PASS","UNKNOWN"),IF(OR($H65="Partially met",$H65="Unmet"),"FAIL","UNKNOWN"))))))</x:f>
      </x:c>
      <x:c r="U65" t="str">
        <x:f>IF($A65="","",IF($S65=0,0,IF(AND($K65&gt;=1,$L65="Yes"),1,0)))</x:f>
      </x:c>
      <x:c r="V65" t="str">
        <x:f>IF($A65="","",IF(OR($S65=0,$H65="N/A",$L65&lt;&gt;"Yes"),0,$K65))</x:f>
      </x:c>
      <x:c r="AB65" t="str">
        <x:f>IF($A65="","",IF(AND($Q65=1,$H65="N/A",NOT(AND($P65&lt;&gt;"",$O65&lt;&gt;"",IFERROR(VLOOKUP($O65,'Exceptions'!$A$5:$M$204,2,FALSE),"")="N/A determination",IFERROR(VLOOKUP($O65,'Exceptions'!$A$5:$M$204,13,FALSE),"")="Active",IFERROR(ISNUMBER(SEARCH($A65,IFERROR(VLOOKUP($O65,'Exceptions'!$A$5:$M$204,3,FALSE),""))),FALSE)))),"MISSING OR INVALID N/A DECISION",IF(AND($Q65=1,OR($H65="Partially met",$H65="Unmet"),OR($K65&lt;1,$L65&lt;&gt;"Yes")),"KNOWN RATING NEEDS FRESH E1",IF(AND($Q65=1,$H65="Met",OR($K65&lt;VALUE(RIGHT($G65,1)),$L65&lt;&gt;"Yes")),"EVIDENCE BELOW MINIMUM",IF(AND($Q65=1,OR($H65="",$H65="Unknown")),"UNASSESSED",IF(AND($H65="N/A",AND($P65&lt;&gt;"",$O65&lt;&gt;"",IFERROR(VLOOKUP($O65,'Exceptions'!$A$5:$M$204,2,FALSE),"")="N/A determination",IFERROR(VLOOKUP($O65,'Exceptions'!$A$5:$M$204,13,FALSE),"")="Active",IFERROR(ISNUMBER(SEARCH($A65,IFERROR(VLOOKUP($O65,'Exceptions'!$A$5:$M$204,3,FALSE),""))),FALSE))),"N/A APPROVED",IF($O65&lt;&gt;"","EXCEPTION REVIEW","OK")))))))</x:f>
      </x:c>
    </x:row>
    <x:row r="66">
      <x:c r="H66" s="8"/>
      <x:c r="I66" t="str">
        <x:f>IF($A66="","",IF($H66="Met",1,IF($H66="Partially met",0.5,IF(OR($H66="Unmet",$H66="Unknown"),0,""))))</x:f>
      </x:c>
      <x:c r="J66" s="8"/>
      <x:c r="K66" t="str">
        <x:f>IF($A66="","",IF($J66="E4",4,IF($J66="E3",3,IF($J66="E2",2,IF($J66="E1",1,0)))))</x:f>
      </x:c>
      <x:c r="L66" s="8"/>
      <x:c r="M66" s="8"/>
      <x:c r="N66" s="8"/>
      <x:c r="O66" s="8"/>
      <x:c r="P66" s="8"/>
      <x:c r="Q66" t="str">
        <x:f>IF($A66="","",IF($D66="Baseline",1,IF($D66="Elevated",IF(OR('Profile'!$B$11="Elevated",'Profile'!$B$11="Critical"),1,0),IF($D66="Critical",IF('Profile'!$B$11="Critical",1,0),1))))</x:f>
      </x:c>
      <x:c r="R66" t="str">
        <x:f>IF($A66="","",IF($Q66=0,0,IF($H66="N/A",0,IF($H66="Met",IF(AND($K66&gt;=VALUE(RIGHT($G66,1)),$L66="Yes"),1,0),IF($H66="Partially met",IF(AND($K66&gt;=1,$L66="Yes"),0.5,0),0)))))</x:f>
      </x:c>
      <x:c r="S66" t="str">
        <x:f>IF($A66="","",IF($Q66=0,0,IF($H66="N/A",IF(AND($P66&lt;&gt;"",$O66&lt;&gt;"",IFERROR(VLOOKUP($O66,'Exceptions'!$A$5:$M$204,2,FALSE),"")="N/A determination",IFERROR(VLOOKUP($O66,'Exceptions'!$A$5:$M$204,13,FALSE),"")="Active",IFERROR(ISNUMBER(SEARCH($A66,IFERROR(VLOOKUP($O66,'Exceptions'!$A$5:$M$204,3,FALSE),""))),FALSE)),0,1),1)))</x:f>
      </x:c>
      <x:c r="T66" t="str">
        <x:f>IF($A66="","",IF($C66="","",IF($H66="N/A",IF(AND($P66&lt;&gt;"",$O66&lt;&gt;"",IFERROR(VLOOKUP($O66,'Exceptions'!$A$5:$M$204,2,FALSE),"")="N/A determination",IFERROR(VLOOKUP($O66,'Exceptions'!$A$5:$M$204,13,FALSE),"")="Active",IFERROR(ISNUMBER(SEARCH($A66,IFERROR(VLOOKUP($O66,'Exceptions'!$A$5:$M$204,3,FALSE),""))),FALSE)),"N/A","FAIL"),IF(OR($H66="Unknown",$H66="",$K66=0,$L66&lt;&gt;"Yes"),"UNKNOWN",IF($H66="Met",IF($K66&gt;=VALUE(RIGHT($G66,1)),"PASS","UNKNOWN"),IF(OR($H66="Partially met",$H66="Unmet"),"FAIL","UNKNOWN"))))))</x:f>
      </x:c>
      <x:c r="U66" t="str">
        <x:f>IF($A66="","",IF($S66=0,0,IF(AND($K66&gt;=1,$L66="Yes"),1,0)))</x:f>
      </x:c>
      <x:c r="V66" t="str">
        <x:f>IF($A66="","",IF(OR($S66=0,$H66="N/A",$L66&lt;&gt;"Yes"),0,$K66))</x:f>
      </x:c>
      <x:c r="AB66" t="str">
        <x:f>IF($A66="","",IF(AND($Q66=1,$H66="N/A",NOT(AND($P66&lt;&gt;"",$O66&lt;&gt;"",IFERROR(VLOOKUP($O66,'Exceptions'!$A$5:$M$204,2,FALSE),"")="N/A determination",IFERROR(VLOOKUP($O66,'Exceptions'!$A$5:$M$204,13,FALSE),"")="Active",IFERROR(ISNUMBER(SEARCH($A66,IFERROR(VLOOKUP($O66,'Exceptions'!$A$5:$M$204,3,FALSE),""))),FALSE)))),"MISSING OR INVALID N/A DECISION",IF(AND($Q66=1,OR($H66="Partially met",$H66="Unmet"),OR($K66&lt;1,$L66&lt;&gt;"Yes")),"KNOWN RATING NEEDS FRESH E1",IF(AND($Q66=1,$H66="Met",OR($K66&lt;VALUE(RIGHT($G66,1)),$L66&lt;&gt;"Yes")),"EVIDENCE BELOW MINIMUM",IF(AND($Q66=1,OR($H66="",$H66="Unknown")),"UNASSESSED",IF(AND($H66="N/A",AND($P66&lt;&gt;"",$O66&lt;&gt;"",IFERROR(VLOOKUP($O66,'Exceptions'!$A$5:$M$204,2,FALSE),"")="N/A determination",IFERROR(VLOOKUP($O66,'Exceptions'!$A$5:$M$204,13,FALSE),"")="Active",IFERROR(ISNUMBER(SEARCH($A66,IFERROR(VLOOKUP($O66,'Exceptions'!$A$5:$M$204,3,FALSE),""))),FALSE))),"N/A APPROVED",IF($O66&lt;&gt;"","EXCEPTION REVIEW","OK")))))))</x:f>
      </x:c>
    </x:row>
    <x:row r="67">
      <x:c r="H67" s="8"/>
      <x:c r="I67" t="str">
        <x:f>IF($A67="","",IF($H67="Met",1,IF($H67="Partially met",0.5,IF(OR($H67="Unmet",$H67="Unknown"),0,""))))</x:f>
      </x:c>
      <x:c r="J67" s="8"/>
      <x:c r="K67" t="str">
        <x:f>IF($A67="","",IF($J67="E4",4,IF($J67="E3",3,IF($J67="E2",2,IF($J67="E1",1,0)))))</x:f>
      </x:c>
      <x:c r="L67" s="8"/>
      <x:c r="M67" s="8"/>
      <x:c r="N67" s="8"/>
      <x:c r="O67" s="8"/>
      <x:c r="P67" s="8"/>
      <x:c r="Q67" t="str">
        <x:f>IF($A67="","",IF($D67="Baseline",1,IF($D67="Elevated",IF(OR('Profile'!$B$11="Elevated",'Profile'!$B$11="Critical"),1,0),IF($D67="Critical",IF('Profile'!$B$11="Critical",1,0),1))))</x:f>
      </x:c>
      <x:c r="R67" t="str">
        <x:f>IF($A67="","",IF($Q67=0,0,IF($H67="N/A",0,IF($H67="Met",IF(AND($K67&gt;=VALUE(RIGHT($G67,1)),$L67="Yes"),1,0),IF($H67="Partially met",IF(AND($K67&gt;=1,$L67="Yes"),0.5,0),0)))))</x:f>
      </x:c>
      <x:c r="S67" t="str">
        <x:f>IF($A67="","",IF($Q67=0,0,IF($H67="N/A",IF(AND($P67&lt;&gt;"",$O67&lt;&gt;"",IFERROR(VLOOKUP($O67,'Exceptions'!$A$5:$M$204,2,FALSE),"")="N/A determination",IFERROR(VLOOKUP($O67,'Exceptions'!$A$5:$M$204,13,FALSE),"")="Active",IFERROR(ISNUMBER(SEARCH($A67,IFERROR(VLOOKUP($O67,'Exceptions'!$A$5:$M$204,3,FALSE),""))),FALSE)),0,1),1)))</x:f>
      </x:c>
      <x:c r="T67" t="str">
        <x:f>IF($A67="","",IF($C67="","",IF($H67="N/A",IF(AND($P67&lt;&gt;"",$O67&lt;&gt;"",IFERROR(VLOOKUP($O67,'Exceptions'!$A$5:$M$204,2,FALSE),"")="N/A determination",IFERROR(VLOOKUP($O67,'Exceptions'!$A$5:$M$204,13,FALSE),"")="Active",IFERROR(ISNUMBER(SEARCH($A67,IFERROR(VLOOKUP($O67,'Exceptions'!$A$5:$M$204,3,FALSE),""))),FALSE)),"N/A","FAIL"),IF(OR($H67="Unknown",$H67="",$K67=0,$L67&lt;&gt;"Yes"),"UNKNOWN",IF($H67="Met",IF($K67&gt;=VALUE(RIGHT($G67,1)),"PASS","UNKNOWN"),IF(OR($H67="Partially met",$H67="Unmet"),"FAIL","UNKNOWN"))))))</x:f>
      </x:c>
      <x:c r="U67" t="str">
        <x:f>IF($A67="","",IF($S67=0,0,IF(AND($K67&gt;=1,$L67="Yes"),1,0)))</x:f>
      </x:c>
      <x:c r="V67" t="str">
        <x:f>IF($A67="","",IF(OR($S67=0,$H67="N/A",$L67&lt;&gt;"Yes"),0,$K67))</x:f>
      </x:c>
      <x:c r="AB67" t="str">
        <x:f>IF($A67="","",IF(AND($Q67=1,$H67="N/A",NOT(AND($P67&lt;&gt;"",$O67&lt;&gt;"",IFERROR(VLOOKUP($O67,'Exceptions'!$A$5:$M$204,2,FALSE),"")="N/A determination",IFERROR(VLOOKUP($O67,'Exceptions'!$A$5:$M$204,13,FALSE),"")="Active",IFERROR(ISNUMBER(SEARCH($A67,IFERROR(VLOOKUP($O67,'Exceptions'!$A$5:$M$204,3,FALSE),""))),FALSE)))),"MISSING OR INVALID N/A DECISION",IF(AND($Q67=1,OR($H67="Partially met",$H67="Unmet"),OR($K67&lt;1,$L67&lt;&gt;"Yes")),"KNOWN RATING NEEDS FRESH E1",IF(AND($Q67=1,$H67="Met",OR($K67&lt;VALUE(RIGHT($G67,1)),$L67&lt;&gt;"Yes")),"EVIDENCE BELOW MINIMUM",IF(AND($Q67=1,OR($H67="",$H67="Unknown")),"UNASSESSED",IF(AND($H67="N/A",AND($P67&lt;&gt;"",$O67&lt;&gt;"",IFERROR(VLOOKUP($O67,'Exceptions'!$A$5:$M$204,2,FALSE),"")="N/A determination",IFERROR(VLOOKUP($O67,'Exceptions'!$A$5:$M$204,13,FALSE),"")="Active",IFERROR(ISNUMBER(SEARCH($A67,IFERROR(VLOOKUP($O67,'Exceptions'!$A$5:$M$204,3,FALSE),""))),FALSE))),"N/A APPROVED",IF($O67&lt;&gt;"","EXCEPTION REVIEW","OK")))))))</x:f>
      </x:c>
    </x:row>
    <x:row r="68">
      <x:c r="H68" s="8"/>
      <x:c r="I68" t="str">
        <x:f>IF($A68="","",IF($H68="Met",1,IF($H68="Partially met",0.5,IF(OR($H68="Unmet",$H68="Unknown"),0,""))))</x:f>
      </x:c>
      <x:c r="J68" s="8"/>
      <x:c r="K68" t="str">
        <x:f>IF($A68="","",IF($J68="E4",4,IF($J68="E3",3,IF($J68="E2",2,IF($J68="E1",1,0)))))</x:f>
      </x:c>
      <x:c r="L68" s="8"/>
      <x:c r="M68" s="8"/>
      <x:c r="N68" s="8"/>
      <x:c r="O68" s="8"/>
      <x:c r="P68" s="8"/>
      <x:c r="Q68" t="str">
        <x:f>IF($A68="","",IF($D68="Baseline",1,IF($D68="Elevated",IF(OR('Profile'!$B$11="Elevated",'Profile'!$B$11="Critical"),1,0),IF($D68="Critical",IF('Profile'!$B$11="Critical",1,0),1))))</x:f>
      </x:c>
      <x:c r="R68" t="str">
        <x:f>IF($A68="","",IF($Q68=0,0,IF($H68="N/A",0,IF($H68="Met",IF(AND($K68&gt;=VALUE(RIGHT($G68,1)),$L68="Yes"),1,0),IF($H68="Partially met",IF(AND($K68&gt;=1,$L68="Yes"),0.5,0),0)))))</x:f>
      </x:c>
      <x:c r="S68" t="str">
        <x:f>IF($A68="","",IF($Q68=0,0,IF($H68="N/A",IF(AND($P68&lt;&gt;"",$O68&lt;&gt;"",IFERROR(VLOOKUP($O68,'Exceptions'!$A$5:$M$204,2,FALSE),"")="N/A determination",IFERROR(VLOOKUP($O68,'Exceptions'!$A$5:$M$204,13,FALSE),"")="Active",IFERROR(ISNUMBER(SEARCH($A68,IFERROR(VLOOKUP($O68,'Exceptions'!$A$5:$M$204,3,FALSE),""))),FALSE)),0,1),1)))</x:f>
      </x:c>
      <x:c r="T68" t="str">
        <x:f>IF($A68="","",IF($C68="","",IF($H68="N/A",IF(AND($P68&lt;&gt;"",$O68&lt;&gt;"",IFERROR(VLOOKUP($O68,'Exceptions'!$A$5:$M$204,2,FALSE),"")="N/A determination",IFERROR(VLOOKUP($O68,'Exceptions'!$A$5:$M$204,13,FALSE),"")="Active",IFERROR(ISNUMBER(SEARCH($A68,IFERROR(VLOOKUP($O68,'Exceptions'!$A$5:$M$204,3,FALSE),""))),FALSE)),"N/A","FAIL"),IF(OR($H68="Unknown",$H68="",$K68=0,$L68&lt;&gt;"Yes"),"UNKNOWN",IF($H68="Met",IF($K68&gt;=VALUE(RIGHT($G68,1)),"PASS","UNKNOWN"),IF(OR($H68="Partially met",$H68="Unmet"),"FAIL","UNKNOWN"))))))</x:f>
      </x:c>
      <x:c r="U68" t="str">
        <x:f>IF($A68="","",IF($S68=0,0,IF(AND($K68&gt;=1,$L68="Yes"),1,0)))</x:f>
      </x:c>
      <x:c r="V68" t="str">
        <x:f>IF($A68="","",IF(OR($S68=0,$H68="N/A",$L68&lt;&gt;"Yes"),0,$K68))</x:f>
      </x:c>
      <x:c r="AB68" t="str">
        <x:f>IF($A68="","",IF(AND($Q68=1,$H68="N/A",NOT(AND($P68&lt;&gt;"",$O68&lt;&gt;"",IFERROR(VLOOKUP($O68,'Exceptions'!$A$5:$M$204,2,FALSE),"")="N/A determination",IFERROR(VLOOKUP($O68,'Exceptions'!$A$5:$M$204,13,FALSE),"")="Active",IFERROR(ISNUMBER(SEARCH($A68,IFERROR(VLOOKUP($O68,'Exceptions'!$A$5:$M$204,3,FALSE),""))),FALSE)))),"MISSING OR INVALID N/A DECISION",IF(AND($Q68=1,OR($H68="Partially met",$H68="Unmet"),OR($K68&lt;1,$L68&lt;&gt;"Yes")),"KNOWN RATING NEEDS FRESH E1",IF(AND($Q68=1,$H68="Met",OR($K68&lt;VALUE(RIGHT($G68,1)),$L68&lt;&gt;"Yes")),"EVIDENCE BELOW MINIMUM",IF(AND($Q68=1,OR($H68="",$H68="Unknown")),"UNASSESSED",IF(AND($H68="N/A",AND($P68&lt;&gt;"",$O68&lt;&gt;"",IFERROR(VLOOKUP($O68,'Exceptions'!$A$5:$M$204,2,FALSE),"")="N/A determination",IFERROR(VLOOKUP($O68,'Exceptions'!$A$5:$M$204,13,FALSE),"")="Active",IFERROR(ISNUMBER(SEARCH($A68,IFERROR(VLOOKUP($O68,'Exceptions'!$A$5:$M$204,3,FALSE),""))),FALSE))),"N/A APPROVED",IF($O68&lt;&gt;"","EXCEPTION REVIEW","OK")))))))</x:f>
      </x:c>
    </x:row>
    <x:row r="69">
      <x:c r="H69" s="8"/>
      <x:c r="I69" t="str">
        <x:f>IF($A69="","",IF($H69="Met",1,IF($H69="Partially met",0.5,IF(OR($H69="Unmet",$H69="Unknown"),0,""))))</x:f>
      </x:c>
      <x:c r="J69" s="8"/>
      <x:c r="K69" t="str">
        <x:f>IF($A69="","",IF($J69="E4",4,IF($J69="E3",3,IF($J69="E2",2,IF($J69="E1",1,0)))))</x:f>
      </x:c>
      <x:c r="L69" s="8"/>
      <x:c r="M69" s="8"/>
      <x:c r="N69" s="8"/>
      <x:c r="O69" s="8"/>
      <x:c r="P69" s="8"/>
      <x:c r="Q69" t="str">
        <x:f>IF($A69="","",IF($D69="Baseline",1,IF($D69="Elevated",IF(OR('Profile'!$B$11="Elevated",'Profile'!$B$11="Critical"),1,0),IF($D69="Critical",IF('Profile'!$B$11="Critical",1,0),1))))</x:f>
      </x:c>
      <x:c r="R69" t="str">
        <x:f>IF($A69="","",IF($Q69=0,0,IF($H69="N/A",0,IF($H69="Met",IF(AND($K69&gt;=VALUE(RIGHT($G69,1)),$L69="Yes"),1,0),IF($H69="Partially met",IF(AND($K69&gt;=1,$L69="Yes"),0.5,0),0)))))</x:f>
      </x:c>
      <x:c r="S69" t="str">
        <x:f>IF($A69="","",IF($Q69=0,0,IF($H69="N/A",IF(AND($P69&lt;&gt;"",$O69&lt;&gt;"",IFERROR(VLOOKUP($O69,'Exceptions'!$A$5:$M$204,2,FALSE),"")="N/A determination",IFERROR(VLOOKUP($O69,'Exceptions'!$A$5:$M$204,13,FALSE),"")="Active",IFERROR(ISNUMBER(SEARCH($A69,IFERROR(VLOOKUP($O69,'Exceptions'!$A$5:$M$204,3,FALSE),""))),FALSE)),0,1),1)))</x:f>
      </x:c>
      <x:c r="T69" t="str">
        <x:f>IF($A69="","",IF($C69="","",IF($H69="N/A",IF(AND($P69&lt;&gt;"",$O69&lt;&gt;"",IFERROR(VLOOKUP($O69,'Exceptions'!$A$5:$M$204,2,FALSE),"")="N/A determination",IFERROR(VLOOKUP($O69,'Exceptions'!$A$5:$M$204,13,FALSE),"")="Active",IFERROR(ISNUMBER(SEARCH($A69,IFERROR(VLOOKUP($O69,'Exceptions'!$A$5:$M$204,3,FALSE),""))),FALSE)),"N/A","FAIL"),IF(OR($H69="Unknown",$H69="",$K69=0,$L69&lt;&gt;"Yes"),"UNKNOWN",IF($H69="Met",IF($K69&gt;=VALUE(RIGHT($G69,1)),"PASS","UNKNOWN"),IF(OR($H69="Partially met",$H69="Unmet"),"FAIL","UNKNOWN"))))))</x:f>
      </x:c>
      <x:c r="U69" t="str">
        <x:f>IF($A69="","",IF($S69=0,0,IF(AND($K69&gt;=1,$L69="Yes"),1,0)))</x:f>
      </x:c>
      <x:c r="V69" t="str">
        <x:f>IF($A69="","",IF(OR($S69=0,$H69="N/A",$L69&lt;&gt;"Yes"),0,$K69))</x:f>
      </x:c>
      <x:c r="AB69" t="str">
        <x:f>IF($A69="","",IF(AND($Q69=1,$H69="N/A",NOT(AND($P69&lt;&gt;"",$O69&lt;&gt;"",IFERROR(VLOOKUP($O69,'Exceptions'!$A$5:$M$204,2,FALSE),"")="N/A determination",IFERROR(VLOOKUP($O69,'Exceptions'!$A$5:$M$204,13,FALSE),"")="Active",IFERROR(ISNUMBER(SEARCH($A69,IFERROR(VLOOKUP($O69,'Exceptions'!$A$5:$M$204,3,FALSE),""))),FALSE)))),"MISSING OR INVALID N/A DECISION",IF(AND($Q69=1,OR($H69="Partially met",$H69="Unmet"),OR($K69&lt;1,$L69&lt;&gt;"Yes")),"KNOWN RATING NEEDS FRESH E1",IF(AND($Q69=1,$H69="Met",OR($K69&lt;VALUE(RIGHT($G69,1)),$L69&lt;&gt;"Yes")),"EVIDENCE BELOW MINIMUM",IF(AND($Q69=1,OR($H69="",$H69="Unknown")),"UNASSESSED",IF(AND($H69="N/A",AND($P69&lt;&gt;"",$O69&lt;&gt;"",IFERROR(VLOOKUP($O69,'Exceptions'!$A$5:$M$204,2,FALSE),"")="N/A determination",IFERROR(VLOOKUP($O69,'Exceptions'!$A$5:$M$204,13,FALSE),"")="Active",IFERROR(ISNUMBER(SEARCH($A69,IFERROR(VLOOKUP($O69,'Exceptions'!$A$5:$M$204,3,FALSE),""))),FALSE))),"N/A APPROVED",IF($O69&lt;&gt;"","EXCEPTION REVIEW","OK")))))))</x:f>
      </x:c>
    </x:row>
    <x:row r="70">
      <x:c r="H70" s="8"/>
      <x:c r="I70" t="str">
        <x:f>IF($A70="","",IF($H70="Met",1,IF($H70="Partially met",0.5,IF(OR($H70="Unmet",$H70="Unknown"),0,""))))</x:f>
      </x:c>
      <x:c r="J70" s="8"/>
      <x:c r="K70" t="str">
        <x:f>IF($A70="","",IF($J70="E4",4,IF($J70="E3",3,IF($J70="E2",2,IF($J70="E1",1,0)))))</x:f>
      </x:c>
      <x:c r="L70" s="8"/>
      <x:c r="M70" s="8"/>
      <x:c r="N70" s="8"/>
      <x:c r="O70" s="8"/>
      <x:c r="P70" s="8"/>
      <x:c r="Q70" t="str">
        <x:f>IF($A70="","",IF($D70="Baseline",1,IF($D70="Elevated",IF(OR('Profile'!$B$11="Elevated",'Profile'!$B$11="Critical"),1,0),IF($D70="Critical",IF('Profile'!$B$11="Critical",1,0),1))))</x:f>
      </x:c>
      <x:c r="R70" t="str">
        <x:f>IF($A70="","",IF($Q70=0,0,IF($H70="N/A",0,IF($H70="Met",IF(AND($K70&gt;=VALUE(RIGHT($G70,1)),$L70="Yes"),1,0),IF($H70="Partially met",IF(AND($K70&gt;=1,$L70="Yes"),0.5,0),0)))))</x:f>
      </x:c>
      <x:c r="S70" t="str">
        <x:f>IF($A70="","",IF($Q70=0,0,IF($H70="N/A",IF(AND($P70&lt;&gt;"",$O70&lt;&gt;"",IFERROR(VLOOKUP($O70,'Exceptions'!$A$5:$M$204,2,FALSE),"")="N/A determination",IFERROR(VLOOKUP($O70,'Exceptions'!$A$5:$M$204,13,FALSE),"")="Active",IFERROR(ISNUMBER(SEARCH($A70,IFERROR(VLOOKUP($O70,'Exceptions'!$A$5:$M$204,3,FALSE),""))),FALSE)),0,1),1)))</x:f>
      </x:c>
      <x:c r="T70" t="str">
        <x:f>IF($A70="","",IF($C70="","",IF($H70="N/A",IF(AND($P70&lt;&gt;"",$O70&lt;&gt;"",IFERROR(VLOOKUP($O70,'Exceptions'!$A$5:$M$204,2,FALSE),"")="N/A determination",IFERROR(VLOOKUP($O70,'Exceptions'!$A$5:$M$204,13,FALSE),"")="Active",IFERROR(ISNUMBER(SEARCH($A70,IFERROR(VLOOKUP($O70,'Exceptions'!$A$5:$M$204,3,FALSE),""))),FALSE)),"N/A","FAIL"),IF(OR($H70="Unknown",$H70="",$K70=0,$L70&lt;&gt;"Yes"),"UNKNOWN",IF($H70="Met",IF($K70&gt;=VALUE(RIGHT($G70,1)),"PASS","UNKNOWN"),IF(OR($H70="Partially met",$H70="Unmet"),"FAIL","UNKNOWN"))))))</x:f>
      </x:c>
      <x:c r="U70" t="str">
        <x:f>IF($A70="","",IF($S70=0,0,IF(AND($K70&gt;=1,$L70="Yes"),1,0)))</x:f>
      </x:c>
      <x:c r="V70" t="str">
        <x:f>IF($A70="","",IF(OR($S70=0,$H70="N/A",$L70&lt;&gt;"Yes"),0,$K70))</x:f>
      </x:c>
      <x:c r="AB70" t="str">
        <x:f>IF($A70="","",IF(AND($Q70=1,$H70="N/A",NOT(AND($P70&lt;&gt;"",$O70&lt;&gt;"",IFERROR(VLOOKUP($O70,'Exceptions'!$A$5:$M$204,2,FALSE),"")="N/A determination",IFERROR(VLOOKUP($O70,'Exceptions'!$A$5:$M$204,13,FALSE),"")="Active",IFERROR(ISNUMBER(SEARCH($A70,IFERROR(VLOOKUP($O70,'Exceptions'!$A$5:$M$204,3,FALSE),""))),FALSE)))),"MISSING OR INVALID N/A DECISION",IF(AND($Q70=1,OR($H70="Partially met",$H70="Unmet"),OR($K70&lt;1,$L70&lt;&gt;"Yes")),"KNOWN RATING NEEDS FRESH E1",IF(AND($Q70=1,$H70="Met",OR($K70&lt;VALUE(RIGHT($G70,1)),$L70&lt;&gt;"Yes")),"EVIDENCE BELOW MINIMUM",IF(AND($Q70=1,OR($H70="",$H70="Unknown")),"UNASSESSED",IF(AND($H70="N/A",AND($P70&lt;&gt;"",$O70&lt;&gt;"",IFERROR(VLOOKUP($O70,'Exceptions'!$A$5:$M$204,2,FALSE),"")="N/A determination",IFERROR(VLOOKUP($O70,'Exceptions'!$A$5:$M$204,13,FALSE),"")="Active",IFERROR(ISNUMBER(SEARCH($A70,IFERROR(VLOOKUP($O70,'Exceptions'!$A$5:$M$204,3,FALSE),""))),FALSE))),"N/A APPROVED",IF($O70&lt;&gt;"","EXCEPTION REVIEW","OK")))))))</x:f>
      </x:c>
    </x:row>
    <x:row r="71">
      <x:c r="H71" s="8"/>
      <x:c r="I71" t="str">
        <x:f>IF($A71="","",IF($H71="Met",1,IF($H71="Partially met",0.5,IF(OR($H71="Unmet",$H71="Unknown"),0,""))))</x:f>
      </x:c>
      <x:c r="J71" s="8"/>
      <x:c r="K71" t="str">
        <x:f>IF($A71="","",IF($J71="E4",4,IF($J71="E3",3,IF($J71="E2",2,IF($J71="E1",1,0)))))</x:f>
      </x:c>
      <x:c r="L71" s="8"/>
      <x:c r="M71" s="8"/>
      <x:c r="N71" s="8"/>
      <x:c r="O71" s="8"/>
      <x:c r="P71" s="8"/>
      <x:c r="Q71" t="str">
        <x:f>IF($A71="","",IF($D71="Baseline",1,IF($D71="Elevated",IF(OR('Profile'!$B$11="Elevated",'Profile'!$B$11="Critical"),1,0),IF($D71="Critical",IF('Profile'!$B$11="Critical",1,0),1))))</x:f>
      </x:c>
      <x:c r="R71" t="str">
        <x:f>IF($A71="","",IF($Q71=0,0,IF($H71="N/A",0,IF($H71="Met",IF(AND($K71&gt;=VALUE(RIGHT($G71,1)),$L71="Yes"),1,0),IF($H71="Partially met",IF(AND($K71&gt;=1,$L71="Yes"),0.5,0),0)))))</x:f>
      </x:c>
      <x:c r="S71" t="str">
        <x:f>IF($A71="","",IF($Q71=0,0,IF($H71="N/A",IF(AND($P71&lt;&gt;"",$O71&lt;&gt;"",IFERROR(VLOOKUP($O71,'Exceptions'!$A$5:$M$204,2,FALSE),"")="N/A determination",IFERROR(VLOOKUP($O71,'Exceptions'!$A$5:$M$204,13,FALSE),"")="Active",IFERROR(ISNUMBER(SEARCH($A71,IFERROR(VLOOKUP($O71,'Exceptions'!$A$5:$M$204,3,FALSE),""))),FALSE)),0,1),1)))</x:f>
      </x:c>
      <x:c r="T71" t="str">
        <x:f>IF($A71="","",IF($C71="","",IF($H71="N/A",IF(AND($P71&lt;&gt;"",$O71&lt;&gt;"",IFERROR(VLOOKUP($O71,'Exceptions'!$A$5:$M$204,2,FALSE),"")="N/A determination",IFERROR(VLOOKUP($O71,'Exceptions'!$A$5:$M$204,13,FALSE),"")="Active",IFERROR(ISNUMBER(SEARCH($A71,IFERROR(VLOOKUP($O71,'Exceptions'!$A$5:$M$204,3,FALSE),""))),FALSE)),"N/A","FAIL"),IF(OR($H71="Unknown",$H71="",$K71=0,$L71&lt;&gt;"Yes"),"UNKNOWN",IF($H71="Met",IF($K71&gt;=VALUE(RIGHT($G71,1)),"PASS","UNKNOWN"),IF(OR($H71="Partially met",$H71="Unmet"),"FAIL","UNKNOWN"))))))</x:f>
      </x:c>
      <x:c r="U71" t="str">
        <x:f>IF($A71="","",IF($S71=0,0,IF(AND($K71&gt;=1,$L71="Yes"),1,0)))</x:f>
      </x:c>
      <x:c r="V71" t="str">
        <x:f>IF($A71="","",IF(OR($S71=0,$H71="N/A",$L71&lt;&gt;"Yes"),0,$K71))</x:f>
      </x:c>
      <x:c r="AB71" t="str">
        <x:f>IF($A71="","",IF(AND($Q71=1,$H71="N/A",NOT(AND($P71&lt;&gt;"",$O71&lt;&gt;"",IFERROR(VLOOKUP($O71,'Exceptions'!$A$5:$M$204,2,FALSE),"")="N/A determination",IFERROR(VLOOKUP($O71,'Exceptions'!$A$5:$M$204,13,FALSE),"")="Active",IFERROR(ISNUMBER(SEARCH($A71,IFERROR(VLOOKUP($O71,'Exceptions'!$A$5:$M$204,3,FALSE),""))),FALSE)))),"MISSING OR INVALID N/A DECISION",IF(AND($Q71=1,OR($H71="Partially met",$H71="Unmet"),OR($K71&lt;1,$L71&lt;&gt;"Yes")),"KNOWN RATING NEEDS FRESH E1",IF(AND($Q71=1,$H71="Met",OR($K71&lt;VALUE(RIGHT($G71,1)),$L71&lt;&gt;"Yes")),"EVIDENCE BELOW MINIMUM",IF(AND($Q71=1,OR($H71="",$H71="Unknown")),"UNASSESSED",IF(AND($H71="N/A",AND($P71&lt;&gt;"",$O71&lt;&gt;"",IFERROR(VLOOKUP($O71,'Exceptions'!$A$5:$M$204,2,FALSE),"")="N/A determination",IFERROR(VLOOKUP($O71,'Exceptions'!$A$5:$M$204,13,FALSE),"")="Active",IFERROR(ISNUMBER(SEARCH($A71,IFERROR(VLOOKUP($O71,'Exceptions'!$A$5:$M$204,3,FALSE),""))),FALSE))),"N/A APPROVED",IF($O71&lt;&gt;"","EXCEPTION REVIEW","OK")))))))</x:f>
      </x:c>
    </x:row>
    <x:row r="72">
      <x:c r="H72" s="8"/>
      <x:c r="I72" t="str">
        <x:f>IF($A72="","",IF($H72="Met",1,IF($H72="Partially met",0.5,IF(OR($H72="Unmet",$H72="Unknown"),0,""))))</x:f>
      </x:c>
      <x:c r="J72" s="8"/>
      <x:c r="K72" t="str">
        <x:f>IF($A72="","",IF($J72="E4",4,IF($J72="E3",3,IF($J72="E2",2,IF($J72="E1",1,0)))))</x:f>
      </x:c>
      <x:c r="L72" s="8"/>
      <x:c r="M72" s="8"/>
      <x:c r="N72" s="8"/>
      <x:c r="O72" s="8"/>
      <x:c r="P72" s="8"/>
      <x:c r="Q72" t="str">
        <x:f>IF($A72="","",IF($D72="Baseline",1,IF($D72="Elevated",IF(OR('Profile'!$B$11="Elevated",'Profile'!$B$11="Critical"),1,0),IF($D72="Critical",IF('Profile'!$B$11="Critical",1,0),1))))</x:f>
      </x:c>
      <x:c r="R72" t="str">
        <x:f>IF($A72="","",IF($Q72=0,0,IF($H72="N/A",0,IF($H72="Met",IF(AND($K72&gt;=VALUE(RIGHT($G72,1)),$L72="Yes"),1,0),IF($H72="Partially met",IF(AND($K72&gt;=1,$L72="Yes"),0.5,0),0)))))</x:f>
      </x:c>
      <x:c r="S72" t="str">
        <x:f>IF($A72="","",IF($Q72=0,0,IF($H72="N/A",IF(AND($P72&lt;&gt;"",$O72&lt;&gt;"",IFERROR(VLOOKUP($O72,'Exceptions'!$A$5:$M$204,2,FALSE),"")="N/A determination",IFERROR(VLOOKUP($O72,'Exceptions'!$A$5:$M$204,13,FALSE),"")="Active",IFERROR(ISNUMBER(SEARCH($A72,IFERROR(VLOOKUP($O72,'Exceptions'!$A$5:$M$204,3,FALSE),""))),FALSE)),0,1),1)))</x:f>
      </x:c>
      <x:c r="T72" t="str">
        <x:f>IF($A72="","",IF($C72="","",IF($H72="N/A",IF(AND($P72&lt;&gt;"",$O72&lt;&gt;"",IFERROR(VLOOKUP($O72,'Exceptions'!$A$5:$M$204,2,FALSE),"")="N/A determination",IFERROR(VLOOKUP($O72,'Exceptions'!$A$5:$M$204,13,FALSE),"")="Active",IFERROR(ISNUMBER(SEARCH($A72,IFERROR(VLOOKUP($O72,'Exceptions'!$A$5:$M$204,3,FALSE),""))),FALSE)),"N/A","FAIL"),IF(OR($H72="Unknown",$H72="",$K72=0,$L72&lt;&gt;"Yes"),"UNKNOWN",IF($H72="Met",IF($K72&gt;=VALUE(RIGHT($G72,1)),"PASS","UNKNOWN"),IF(OR($H72="Partially met",$H72="Unmet"),"FAIL","UNKNOWN"))))))</x:f>
      </x:c>
      <x:c r="U72" t="str">
        <x:f>IF($A72="","",IF($S72=0,0,IF(AND($K72&gt;=1,$L72="Yes"),1,0)))</x:f>
      </x:c>
      <x:c r="V72" t="str">
        <x:f>IF($A72="","",IF(OR($S72=0,$H72="N/A",$L72&lt;&gt;"Yes"),0,$K72))</x:f>
      </x:c>
      <x:c r="AB72" t="str">
        <x:f>IF($A72="","",IF(AND($Q72=1,$H72="N/A",NOT(AND($P72&lt;&gt;"",$O72&lt;&gt;"",IFERROR(VLOOKUP($O72,'Exceptions'!$A$5:$M$204,2,FALSE),"")="N/A determination",IFERROR(VLOOKUP($O72,'Exceptions'!$A$5:$M$204,13,FALSE),"")="Active",IFERROR(ISNUMBER(SEARCH($A72,IFERROR(VLOOKUP($O72,'Exceptions'!$A$5:$M$204,3,FALSE),""))),FALSE)))),"MISSING OR INVALID N/A DECISION",IF(AND($Q72=1,OR($H72="Partially met",$H72="Unmet"),OR($K72&lt;1,$L72&lt;&gt;"Yes")),"KNOWN RATING NEEDS FRESH E1",IF(AND($Q72=1,$H72="Met",OR($K72&lt;VALUE(RIGHT($G72,1)),$L72&lt;&gt;"Yes")),"EVIDENCE BELOW MINIMUM",IF(AND($Q72=1,OR($H72="",$H72="Unknown")),"UNASSESSED",IF(AND($H72="N/A",AND($P72&lt;&gt;"",$O72&lt;&gt;"",IFERROR(VLOOKUP($O72,'Exceptions'!$A$5:$M$204,2,FALSE),"")="N/A determination",IFERROR(VLOOKUP($O72,'Exceptions'!$A$5:$M$204,13,FALSE),"")="Active",IFERROR(ISNUMBER(SEARCH($A72,IFERROR(VLOOKUP($O72,'Exceptions'!$A$5:$M$204,3,FALSE),""))),FALSE))),"N/A APPROVED",IF($O72&lt;&gt;"","EXCEPTION REVIEW","OK")))))))</x:f>
      </x:c>
    </x:row>
    <x:row r="73">
      <x:c r="H73" s="8"/>
      <x:c r="I73" t="str">
        <x:f>IF($A73="","",IF($H73="Met",1,IF($H73="Partially met",0.5,IF(OR($H73="Unmet",$H73="Unknown"),0,""))))</x:f>
      </x:c>
      <x:c r="J73" s="8"/>
      <x:c r="K73" t="str">
        <x:f>IF($A73="","",IF($J73="E4",4,IF($J73="E3",3,IF($J73="E2",2,IF($J73="E1",1,0)))))</x:f>
      </x:c>
      <x:c r="L73" s="8"/>
      <x:c r="M73" s="8"/>
      <x:c r="N73" s="8"/>
      <x:c r="O73" s="8"/>
      <x:c r="P73" s="8"/>
      <x:c r="Q73" t="str">
        <x:f>IF($A73="","",IF($D73="Baseline",1,IF($D73="Elevated",IF(OR('Profile'!$B$11="Elevated",'Profile'!$B$11="Critical"),1,0),IF($D73="Critical",IF('Profile'!$B$11="Critical",1,0),1))))</x:f>
      </x:c>
      <x:c r="R73" t="str">
        <x:f>IF($A73="","",IF($Q73=0,0,IF($H73="N/A",0,IF($H73="Met",IF(AND($K73&gt;=VALUE(RIGHT($G73,1)),$L73="Yes"),1,0),IF($H73="Partially met",IF(AND($K73&gt;=1,$L73="Yes"),0.5,0),0)))))</x:f>
      </x:c>
      <x:c r="S73" t="str">
        <x:f>IF($A73="","",IF($Q73=0,0,IF($H73="N/A",IF(AND($P73&lt;&gt;"",$O73&lt;&gt;"",IFERROR(VLOOKUP($O73,'Exceptions'!$A$5:$M$204,2,FALSE),"")="N/A determination",IFERROR(VLOOKUP($O73,'Exceptions'!$A$5:$M$204,13,FALSE),"")="Active",IFERROR(ISNUMBER(SEARCH($A73,IFERROR(VLOOKUP($O73,'Exceptions'!$A$5:$M$204,3,FALSE),""))),FALSE)),0,1),1)))</x:f>
      </x:c>
      <x:c r="T73" t="str">
        <x:f>IF($A73="","",IF($C73="","",IF($H73="N/A",IF(AND($P73&lt;&gt;"",$O73&lt;&gt;"",IFERROR(VLOOKUP($O73,'Exceptions'!$A$5:$M$204,2,FALSE),"")="N/A determination",IFERROR(VLOOKUP($O73,'Exceptions'!$A$5:$M$204,13,FALSE),"")="Active",IFERROR(ISNUMBER(SEARCH($A73,IFERROR(VLOOKUP($O73,'Exceptions'!$A$5:$M$204,3,FALSE),""))),FALSE)),"N/A","FAIL"),IF(OR($H73="Unknown",$H73="",$K73=0,$L73&lt;&gt;"Yes"),"UNKNOWN",IF($H73="Met",IF($K73&gt;=VALUE(RIGHT($G73,1)),"PASS","UNKNOWN"),IF(OR($H73="Partially met",$H73="Unmet"),"FAIL","UNKNOWN"))))))</x:f>
      </x:c>
      <x:c r="U73" t="str">
        <x:f>IF($A73="","",IF($S73=0,0,IF(AND($K73&gt;=1,$L73="Yes"),1,0)))</x:f>
      </x:c>
      <x:c r="V73" t="str">
        <x:f>IF($A73="","",IF(OR($S73=0,$H73="N/A",$L73&lt;&gt;"Yes"),0,$K73))</x:f>
      </x:c>
      <x:c r="AB73" t="str">
        <x:f>IF($A73="","",IF(AND($Q73=1,$H73="N/A",NOT(AND($P73&lt;&gt;"",$O73&lt;&gt;"",IFERROR(VLOOKUP($O73,'Exceptions'!$A$5:$M$204,2,FALSE),"")="N/A determination",IFERROR(VLOOKUP($O73,'Exceptions'!$A$5:$M$204,13,FALSE),"")="Active",IFERROR(ISNUMBER(SEARCH($A73,IFERROR(VLOOKUP($O73,'Exceptions'!$A$5:$M$204,3,FALSE),""))),FALSE)))),"MISSING OR INVALID N/A DECISION",IF(AND($Q73=1,OR($H73="Partially met",$H73="Unmet"),OR($K73&lt;1,$L73&lt;&gt;"Yes")),"KNOWN RATING NEEDS FRESH E1",IF(AND($Q73=1,$H73="Met",OR($K73&lt;VALUE(RIGHT($G73,1)),$L73&lt;&gt;"Yes")),"EVIDENCE BELOW MINIMUM",IF(AND($Q73=1,OR($H73="",$H73="Unknown")),"UNASSESSED",IF(AND($H73="N/A",AND($P73&lt;&gt;"",$O73&lt;&gt;"",IFERROR(VLOOKUP($O73,'Exceptions'!$A$5:$M$204,2,FALSE),"")="N/A determination",IFERROR(VLOOKUP($O73,'Exceptions'!$A$5:$M$204,13,FALSE),"")="Active",IFERROR(ISNUMBER(SEARCH($A73,IFERROR(VLOOKUP($O73,'Exceptions'!$A$5:$M$204,3,FALSE),""))),FALSE))),"N/A APPROVED",IF($O73&lt;&gt;"","EXCEPTION REVIEW","OK")))))))</x:f>
      </x:c>
    </x:row>
    <x:row r="74">
      <x:c r="H74" s="8"/>
      <x:c r="I74" t="str">
        <x:f>IF($A74="","",IF($H74="Met",1,IF($H74="Partially met",0.5,IF(OR($H74="Unmet",$H74="Unknown"),0,""))))</x:f>
      </x:c>
      <x:c r="J74" s="8"/>
      <x:c r="K74" t="str">
        <x:f>IF($A74="","",IF($J74="E4",4,IF($J74="E3",3,IF($J74="E2",2,IF($J74="E1",1,0)))))</x:f>
      </x:c>
      <x:c r="L74" s="8"/>
      <x:c r="M74" s="8"/>
      <x:c r="N74" s="8"/>
      <x:c r="O74" s="8"/>
      <x:c r="P74" s="8"/>
      <x:c r="Q74" t="str">
        <x:f>IF($A74="","",IF($D74="Baseline",1,IF($D74="Elevated",IF(OR('Profile'!$B$11="Elevated",'Profile'!$B$11="Critical"),1,0),IF($D74="Critical",IF('Profile'!$B$11="Critical",1,0),1))))</x:f>
      </x:c>
      <x:c r="R74" t="str">
        <x:f>IF($A74="","",IF($Q74=0,0,IF($H74="N/A",0,IF($H74="Met",IF(AND($K74&gt;=VALUE(RIGHT($G74,1)),$L74="Yes"),1,0),IF($H74="Partially met",IF(AND($K74&gt;=1,$L74="Yes"),0.5,0),0)))))</x:f>
      </x:c>
      <x:c r="S74" t="str">
        <x:f>IF($A74="","",IF($Q74=0,0,IF($H74="N/A",IF(AND($P74&lt;&gt;"",$O74&lt;&gt;"",IFERROR(VLOOKUP($O74,'Exceptions'!$A$5:$M$204,2,FALSE),"")="N/A determination",IFERROR(VLOOKUP($O74,'Exceptions'!$A$5:$M$204,13,FALSE),"")="Active",IFERROR(ISNUMBER(SEARCH($A74,IFERROR(VLOOKUP($O74,'Exceptions'!$A$5:$M$204,3,FALSE),""))),FALSE)),0,1),1)))</x:f>
      </x:c>
      <x:c r="T74" t="str">
        <x:f>IF($A74="","",IF($C74="","",IF($H74="N/A",IF(AND($P74&lt;&gt;"",$O74&lt;&gt;"",IFERROR(VLOOKUP($O74,'Exceptions'!$A$5:$M$204,2,FALSE),"")="N/A determination",IFERROR(VLOOKUP($O74,'Exceptions'!$A$5:$M$204,13,FALSE),"")="Active",IFERROR(ISNUMBER(SEARCH($A74,IFERROR(VLOOKUP($O74,'Exceptions'!$A$5:$M$204,3,FALSE),""))),FALSE)),"N/A","FAIL"),IF(OR($H74="Unknown",$H74="",$K74=0,$L74&lt;&gt;"Yes"),"UNKNOWN",IF($H74="Met",IF($K74&gt;=VALUE(RIGHT($G74,1)),"PASS","UNKNOWN"),IF(OR($H74="Partially met",$H74="Unmet"),"FAIL","UNKNOWN"))))))</x:f>
      </x:c>
      <x:c r="U74" t="str">
        <x:f>IF($A74="","",IF($S74=0,0,IF(AND($K74&gt;=1,$L74="Yes"),1,0)))</x:f>
      </x:c>
      <x:c r="V74" t="str">
        <x:f>IF($A74="","",IF(OR($S74=0,$H74="N/A",$L74&lt;&gt;"Yes"),0,$K74))</x:f>
      </x:c>
      <x:c r="AB74" t="str">
        <x:f>IF($A74="","",IF(AND($Q74=1,$H74="N/A",NOT(AND($P74&lt;&gt;"",$O74&lt;&gt;"",IFERROR(VLOOKUP($O74,'Exceptions'!$A$5:$M$204,2,FALSE),"")="N/A determination",IFERROR(VLOOKUP($O74,'Exceptions'!$A$5:$M$204,13,FALSE),"")="Active",IFERROR(ISNUMBER(SEARCH($A74,IFERROR(VLOOKUP($O74,'Exceptions'!$A$5:$M$204,3,FALSE),""))),FALSE)))),"MISSING OR INVALID N/A DECISION",IF(AND($Q74=1,OR($H74="Partially met",$H74="Unmet"),OR($K74&lt;1,$L74&lt;&gt;"Yes")),"KNOWN RATING NEEDS FRESH E1",IF(AND($Q74=1,$H74="Met",OR($K74&lt;VALUE(RIGHT($G74,1)),$L74&lt;&gt;"Yes")),"EVIDENCE BELOW MINIMUM",IF(AND($Q74=1,OR($H74="",$H74="Unknown")),"UNASSESSED",IF(AND($H74="N/A",AND($P74&lt;&gt;"",$O74&lt;&gt;"",IFERROR(VLOOKUP($O74,'Exceptions'!$A$5:$M$204,2,FALSE),"")="N/A determination",IFERROR(VLOOKUP($O74,'Exceptions'!$A$5:$M$204,13,FALSE),"")="Active",IFERROR(ISNUMBER(SEARCH($A74,IFERROR(VLOOKUP($O74,'Exceptions'!$A$5:$M$204,3,FALSE),""))),FALSE))),"N/A APPROVED",IF($O74&lt;&gt;"","EXCEPTION REVIEW","OK")))))))</x:f>
      </x:c>
    </x:row>
    <x:row r="75">
      <x:c r="H75" s="8"/>
      <x:c r="I75" t="str">
        <x:f>IF($A75="","",IF($H75="Met",1,IF($H75="Partially met",0.5,IF(OR($H75="Unmet",$H75="Unknown"),0,""))))</x:f>
      </x:c>
      <x:c r="J75" s="8"/>
      <x:c r="K75" t="str">
        <x:f>IF($A75="","",IF($J75="E4",4,IF($J75="E3",3,IF($J75="E2",2,IF($J75="E1",1,0)))))</x:f>
      </x:c>
      <x:c r="L75" s="8"/>
      <x:c r="M75" s="8"/>
      <x:c r="N75" s="8"/>
      <x:c r="O75" s="8"/>
      <x:c r="P75" s="8"/>
      <x:c r="Q75" t="str">
        <x:f>IF($A75="","",IF($D75="Baseline",1,IF($D75="Elevated",IF(OR('Profile'!$B$11="Elevated",'Profile'!$B$11="Critical"),1,0),IF($D75="Critical",IF('Profile'!$B$11="Critical",1,0),1))))</x:f>
      </x:c>
      <x:c r="R75" t="str">
        <x:f>IF($A75="","",IF($Q75=0,0,IF($H75="N/A",0,IF($H75="Met",IF(AND($K75&gt;=VALUE(RIGHT($G75,1)),$L75="Yes"),1,0),IF($H75="Partially met",IF(AND($K75&gt;=1,$L75="Yes"),0.5,0),0)))))</x:f>
      </x:c>
      <x:c r="S75" t="str">
        <x:f>IF($A75="","",IF($Q75=0,0,IF($H75="N/A",IF(AND($P75&lt;&gt;"",$O75&lt;&gt;"",IFERROR(VLOOKUP($O75,'Exceptions'!$A$5:$M$204,2,FALSE),"")="N/A determination",IFERROR(VLOOKUP($O75,'Exceptions'!$A$5:$M$204,13,FALSE),"")="Active",IFERROR(ISNUMBER(SEARCH($A75,IFERROR(VLOOKUP($O75,'Exceptions'!$A$5:$M$204,3,FALSE),""))),FALSE)),0,1),1)))</x:f>
      </x:c>
      <x:c r="T75" t="str">
        <x:f>IF($A75="","",IF($C75="","",IF($H75="N/A",IF(AND($P75&lt;&gt;"",$O75&lt;&gt;"",IFERROR(VLOOKUP($O75,'Exceptions'!$A$5:$M$204,2,FALSE),"")="N/A determination",IFERROR(VLOOKUP($O75,'Exceptions'!$A$5:$M$204,13,FALSE),"")="Active",IFERROR(ISNUMBER(SEARCH($A75,IFERROR(VLOOKUP($O75,'Exceptions'!$A$5:$M$204,3,FALSE),""))),FALSE)),"N/A","FAIL"),IF(OR($H75="Unknown",$H75="",$K75=0,$L75&lt;&gt;"Yes"),"UNKNOWN",IF($H75="Met",IF($K75&gt;=VALUE(RIGHT($G75,1)),"PASS","UNKNOWN"),IF(OR($H75="Partially met",$H75="Unmet"),"FAIL","UNKNOWN"))))))</x:f>
      </x:c>
      <x:c r="U75" t="str">
        <x:f>IF($A75="","",IF($S75=0,0,IF(AND($K75&gt;=1,$L75="Yes"),1,0)))</x:f>
      </x:c>
      <x:c r="V75" t="str">
        <x:f>IF($A75="","",IF(OR($S75=0,$H75="N/A",$L75&lt;&gt;"Yes"),0,$K75))</x:f>
      </x:c>
      <x:c r="AB75" t="str">
        <x:f>IF($A75="","",IF(AND($Q75=1,$H75="N/A",NOT(AND($P75&lt;&gt;"",$O75&lt;&gt;"",IFERROR(VLOOKUP($O75,'Exceptions'!$A$5:$M$204,2,FALSE),"")="N/A determination",IFERROR(VLOOKUP($O75,'Exceptions'!$A$5:$M$204,13,FALSE),"")="Active",IFERROR(ISNUMBER(SEARCH($A75,IFERROR(VLOOKUP($O75,'Exceptions'!$A$5:$M$204,3,FALSE),""))),FALSE)))),"MISSING OR INVALID N/A DECISION",IF(AND($Q75=1,OR($H75="Partially met",$H75="Unmet"),OR($K75&lt;1,$L75&lt;&gt;"Yes")),"KNOWN RATING NEEDS FRESH E1",IF(AND($Q75=1,$H75="Met",OR($K75&lt;VALUE(RIGHT($G75,1)),$L75&lt;&gt;"Yes")),"EVIDENCE BELOW MINIMUM",IF(AND($Q75=1,OR($H75="",$H75="Unknown")),"UNASSESSED",IF(AND($H75="N/A",AND($P75&lt;&gt;"",$O75&lt;&gt;"",IFERROR(VLOOKUP($O75,'Exceptions'!$A$5:$M$204,2,FALSE),"")="N/A determination",IFERROR(VLOOKUP($O75,'Exceptions'!$A$5:$M$204,13,FALSE),"")="Active",IFERROR(ISNUMBER(SEARCH($A75,IFERROR(VLOOKUP($O75,'Exceptions'!$A$5:$M$204,3,FALSE),""))),FALSE))),"N/A APPROVED",IF($O75&lt;&gt;"","EXCEPTION REVIEW","OK")))))))</x:f>
      </x:c>
    </x:row>
    <x:row r="76">
      <x:c r="H76" s="8"/>
      <x:c r="I76" t="str">
        <x:f>IF($A76="","",IF($H76="Met",1,IF($H76="Partially met",0.5,IF(OR($H76="Unmet",$H76="Unknown"),0,""))))</x:f>
      </x:c>
      <x:c r="J76" s="8"/>
      <x:c r="K76" t="str">
        <x:f>IF($A76="","",IF($J76="E4",4,IF($J76="E3",3,IF($J76="E2",2,IF($J76="E1",1,0)))))</x:f>
      </x:c>
      <x:c r="L76" s="8"/>
      <x:c r="M76" s="8"/>
      <x:c r="N76" s="8"/>
      <x:c r="O76" s="8"/>
      <x:c r="P76" s="8"/>
      <x:c r="Q76" t="str">
        <x:f>IF($A76="","",IF($D76="Baseline",1,IF($D76="Elevated",IF(OR('Profile'!$B$11="Elevated",'Profile'!$B$11="Critical"),1,0),IF($D76="Critical",IF('Profile'!$B$11="Critical",1,0),1))))</x:f>
      </x:c>
      <x:c r="R76" t="str">
        <x:f>IF($A76="","",IF($Q76=0,0,IF($H76="N/A",0,IF($H76="Met",IF(AND($K76&gt;=VALUE(RIGHT($G76,1)),$L76="Yes"),1,0),IF($H76="Partially met",IF(AND($K76&gt;=1,$L76="Yes"),0.5,0),0)))))</x:f>
      </x:c>
      <x:c r="S76" t="str">
        <x:f>IF($A76="","",IF($Q76=0,0,IF($H76="N/A",IF(AND($P76&lt;&gt;"",$O76&lt;&gt;"",IFERROR(VLOOKUP($O76,'Exceptions'!$A$5:$M$204,2,FALSE),"")="N/A determination",IFERROR(VLOOKUP($O76,'Exceptions'!$A$5:$M$204,13,FALSE),"")="Active",IFERROR(ISNUMBER(SEARCH($A76,IFERROR(VLOOKUP($O76,'Exceptions'!$A$5:$M$204,3,FALSE),""))),FALSE)),0,1),1)))</x:f>
      </x:c>
      <x:c r="T76" t="str">
        <x:f>IF($A76="","",IF($C76="","",IF($H76="N/A",IF(AND($P76&lt;&gt;"",$O76&lt;&gt;"",IFERROR(VLOOKUP($O76,'Exceptions'!$A$5:$M$204,2,FALSE),"")="N/A determination",IFERROR(VLOOKUP($O76,'Exceptions'!$A$5:$M$204,13,FALSE),"")="Active",IFERROR(ISNUMBER(SEARCH($A76,IFERROR(VLOOKUP($O76,'Exceptions'!$A$5:$M$204,3,FALSE),""))),FALSE)),"N/A","FAIL"),IF(OR($H76="Unknown",$H76="",$K76=0,$L76&lt;&gt;"Yes"),"UNKNOWN",IF($H76="Met",IF($K76&gt;=VALUE(RIGHT($G76,1)),"PASS","UNKNOWN"),IF(OR($H76="Partially met",$H76="Unmet"),"FAIL","UNKNOWN"))))))</x:f>
      </x:c>
      <x:c r="U76" t="str">
        <x:f>IF($A76="","",IF($S76=0,0,IF(AND($K76&gt;=1,$L76="Yes"),1,0)))</x:f>
      </x:c>
      <x:c r="V76" t="str">
        <x:f>IF($A76="","",IF(OR($S76=0,$H76="N/A",$L76&lt;&gt;"Yes"),0,$K76))</x:f>
      </x:c>
      <x:c r="AB76" t="str">
        <x:f>IF($A76="","",IF(AND($Q76=1,$H76="N/A",NOT(AND($P76&lt;&gt;"",$O76&lt;&gt;"",IFERROR(VLOOKUP($O76,'Exceptions'!$A$5:$M$204,2,FALSE),"")="N/A determination",IFERROR(VLOOKUP($O76,'Exceptions'!$A$5:$M$204,13,FALSE),"")="Active",IFERROR(ISNUMBER(SEARCH($A76,IFERROR(VLOOKUP($O76,'Exceptions'!$A$5:$M$204,3,FALSE),""))),FALSE)))),"MISSING OR INVALID N/A DECISION",IF(AND($Q76=1,OR($H76="Partially met",$H76="Unmet"),OR($K76&lt;1,$L76&lt;&gt;"Yes")),"KNOWN RATING NEEDS FRESH E1",IF(AND($Q76=1,$H76="Met",OR($K76&lt;VALUE(RIGHT($G76,1)),$L76&lt;&gt;"Yes")),"EVIDENCE BELOW MINIMUM",IF(AND($Q76=1,OR($H76="",$H76="Unknown")),"UNASSESSED",IF(AND($H76="N/A",AND($P76&lt;&gt;"",$O76&lt;&gt;"",IFERROR(VLOOKUP($O76,'Exceptions'!$A$5:$M$204,2,FALSE),"")="N/A determination",IFERROR(VLOOKUP($O76,'Exceptions'!$A$5:$M$204,13,FALSE),"")="Active",IFERROR(ISNUMBER(SEARCH($A76,IFERROR(VLOOKUP($O76,'Exceptions'!$A$5:$M$204,3,FALSE),""))),FALSE))),"N/A APPROVED",IF($O76&lt;&gt;"","EXCEPTION REVIEW","OK")))))))</x:f>
      </x:c>
    </x:row>
    <x:row r="77">
      <x:c r="H77" s="8"/>
      <x:c r="I77" t="str">
        <x:f>IF($A77="","",IF($H77="Met",1,IF($H77="Partially met",0.5,IF(OR($H77="Unmet",$H77="Unknown"),0,""))))</x:f>
      </x:c>
      <x:c r="J77" s="8"/>
      <x:c r="K77" t="str">
        <x:f>IF($A77="","",IF($J77="E4",4,IF($J77="E3",3,IF($J77="E2",2,IF($J77="E1",1,0)))))</x:f>
      </x:c>
      <x:c r="L77" s="8"/>
      <x:c r="M77" s="8"/>
      <x:c r="N77" s="8"/>
      <x:c r="O77" s="8"/>
      <x:c r="P77" s="8"/>
      <x:c r="Q77" t="str">
        <x:f>IF($A77="","",IF($D77="Baseline",1,IF($D77="Elevated",IF(OR('Profile'!$B$11="Elevated",'Profile'!$B$11="Critical"),1,0),IF($D77="Critical",IF('Profile'!$B$11="Critical",1,0),1))))</x:f>
      </x:c>
      <x:c r="R77" t="str">
        <x:f>IF($A77="","",IF($Q77=0,0,IF($H77="N/A",0,IF($H77="Met",IF(AND($K77&gt;=VALUE(RIGHT($G77,1)),$L77="Yes"),1,0),IF($H77="Partially met",IF(AND($K77&gt;=1,$L77="Yes"),0.5,0),0)))))</x:f>
      </x:c>
      <x:c r="S77" t="str">
        <x:f>IF($A77="","",IF($Q77=0,0,IF($H77="N/A",IF(AND($P77&lt;&gt;"",$O77&lt;&gt;"",IFERROR(VLOOKUP($O77,'Exceptions'!$A$5:$M$204,2,FALSE),"")="N/A determination",IFERROR(VLOOKUP($O77,'Exceptions'!$A$5:$M$204,13,FALSE),"")="Active",IFERROR(ISNUMBER(SEARCH($A77,IFERROR(VLOOKUP($O77,'Exceptions'!$A$5:$M$204,3,FALSE),""))),FALSE)),0,1),1)))</x:f>
      </x:c>
      <x:c r="T77" t="str">
        <x:f>IF($A77="","",IF($C77="","",IF($H77="N/A",IF(AND($P77&lt;&gt;"",$O77&lt;&gt;"",IFERROR(VLOOKUP($O77,'Exceptions'!$A$5:$M$204,2,FALSE),"")="N/A determination",IFERROR(VLOOKUP($O77,'Exceptions'!$A$5:$M$204,13,FALSE),"")="Active",IFERROR(ISNUMBER(SEARCH($A77,IFERROR(VLOOKUP($O77,'Exceptions'!$A$5:$M$204,3,FALSE),""))),FALSE)),"N/A","FAIL"),IF(OR($H77="Unknown",$H77="",$K77=0,$L77&lt;&gt;"Yes"),"UNKNOWN",IF($H77="Met",IF($K77&gt;=VALUE(RIGHT($G77,1)),"PASS","UNKNOWN"),IF(OR($H77="Partially met",$H77="Unmet"),"FAIL","UNKNOWN"))))))</x:f>
      </x:c>
      <x:c r="U77" t="str">
        <x:f>IF($A77="","",IF($S77=0,0,IF(AND($K77&gt;=1,$L77="Yes"),1,0)))</x:f>
      </x:c>
      <x:c r="V77" t="str">
        <x:f>IF($A77="","",IF(OR($S77=0,$H77="N/A",$L77&lt;&gt;"Yes"),0,$K77))</x:f>
      </x:c>
      <x:c r="AB77" t="str">
        <x:f>IF($A77="","",IF(AND($Q77=1,$H77="N/A",NOT(AND($P77&lt;&gt;"",$O77&lt;&gt;"",IFERROR(VLOOKUP($O77,'Exceptions'!$A$5:$M$204,2,FALSE),"")="N/A determination",IFERROR(VLOOKUP($O77,'Exceptions'!$A$5:$M$204,13,FALSE),"")="Active",IFERROR(ISNUMBER(SEARCH($A77,IFERROR(VLOOKUP($O77,'Exceptions'!$A$5:$M$204,3,FALSE),""))),FALSE)))),"MISSING OR INVALID N/A DECISION",IF(AND($Q77=1,OR($H77="Partially met",$H77="Unmet"),OR($K77&lt;1,$L77&lt;&gt;"Yes")),"KNOWN RATING NEEDS FRESH E1",IF(AND($Q77=1,$H77="Met",OR($K77&lt;VALUE(RIGHT($G77,1)),$L77&lt;&gt;"Yes")),"EVIDENCE BELOW MINIMUM",IF(AND($Q77=1,OR($H77="",$H77="Unknown")),"UNASSESSED",IF(AND($H77="N/A",AND($P77&lt;&gt;"",$O77&lt;&gt;"",IFERROR(VLOOKUP($O77,'Exceptions'!$A$5:$M$204,2,FALSE),"")="N/A determination",IFERROR(VLOOKUP($O77,'Exceptions'!$A$5:$M$204,13,FALSE),"")="Active",IFERROR(ISNUMBER(SEARCH($A77,IFERROR(VLOOKUP($O77,'Exceptions'!$A$5:$M$204,3,FALSE),""))),FALSE))),"N/A APPROVED",IF($O77&lt;&gt;"","EXCEPTION REVIEW","OK")))))))</x:f>
      </x:c>
    </x:row>
    <x:row r="78">
      <x:c r="H78" s="8"/>
      <x:c r="I78" t="str">
        <x:f>IF($A78="","",IF($H78="Met",1,IF($H78="Partially met",0.5,IF(OR($H78="Unmet",$H78="Unknown"),0,""))))</x:f>
      </x:c>
      <x:c r="J78" s="8"/>
      <x:c r="K78" t="str">
        <x:f>IF($A78="","",IF($J78="E4",4,IF($J78="E3",3,IF($J78="E2",2,IF($J78="E1",1,0)))))</x:f>
      </x:c>
      <x:c r="L78" s="8"/>
      <x:c r="M78" s="8"/>
      <x:c r="N78" s="8"/>
      <x:c r="O78" s="8"/>
      <x:c r="P78" s="8"/>
      <x:c r="Q78" t="str">
        <x:f>IF($A78="","",IF($D78="Baseline",1,IF($D78="Elevated",IF(OR('Profile'!$B$11="Elevated",'Profile'!$B$11="Critical"),1,0),IF($D78="Critical",IF('Profile'!$B$11="Critical",1,0),1))))</x:f>
      </x:c>
      <x:c r="R78" t="str">
        <x:f>IF($A78="","",IF($Q78=0,0,IF($H78="N/A",0,IF($H78="Met",IF(AND($K78&gt;=VALUE(RIGHT($G78,1)),$L78="Yes"),1,0),IF($H78="Partially met",IF(AND($K78&gt;=1,$L78="Yes"),0.5,0),0)))))</x:f>
      </x:c>
      <x:c r="S78" t="str">
        <x:f>IF($A78="","",IF($Q78=0,0,IF($H78="N/A",IF(AND($P78&lt;&gt;"",$O78&lt;&gt;"",IFERROR(VLOOKUP($O78,'Exceptions'!$A$5:$M$204,2,FALSE),"")="N/A determination",IFERROR(VLOOKUP($O78,'Exceptions'!$A$5:$M$204,13,FALSE),"")="Active",IFERROR(ISNUMBER(SEARCH($A78,IFERROR(VLOOKUP($O78,'Exceptions'!$A$5:$M$204,3,FALSE),""))),FALSE)),0,1),1)))</x:f>
      </x:c>
      <x:c r="T78" t="str">
        <x:f>IF($A78="","",IF($C78="","",IF($H78="N/A",IF(AND($P78&lt;&gt;"",$O78&lt;&gt;"",IFERROR(VLOOKUP($O78,'Exceptions'!$A$5:$M$204,2,FALSE),"")="N/A determination",IFERROR(VLOOKUP($O78,'Exceptions'!$A$5:$M$204,13,FALSE),"")="Active",IFERROR(ISNUMBER(SEARCH($A78,IFERROR(VLOOKUP($O78,'Exceptions'!$A$5:$M$204,3,FALSE),""))),FALSE)),"N/A","FAIL"),IF(OR($H78="Unknown",$H78="",$K78=0,$L78&lt;&gt;"Yes"),"UNKNOWN",IF($H78="Met",IF($K78&gt;=VALUE(RIGHT($G78,1)),"PASS","UNKNOWN"),IF(OR($H78="Partially met",$H78="Unmet"),"FAIL","UNKNOWN"))))))</x:f>
      </x:c>
      <x:c r="U78" t="str">
        <x:f>IF($A78="","",IF($S78=0,0,IF(AND($K78&gt;=1,$L78="Yes"),1,0)))</x:f>
      </x:c>
      <x:c r="V78" t="str">
        <x:f>IF($A78="","",IF(OR($S78=0,$H78="N/A",$L78&lt;&gt;"Yes"),0,$K78))</x:f>
      </x:c>
      <x:c r="AB78" t="str">
        <x:f>IF($A78="","",IF(AND($Q78=1,$H78="N/A",NOT(AND($P78&lt;&gt;"",$O78&lt;&gt;"",IFERROR(VLOOKUP($O78,'Exceptions'!$A$5:$M$204,2,FALSE),"")="N/A determination",IFERROR(VLOOKUP($O78,'Exceptions'!$A$5:$M$204,13,FALSE),"")="Active",IFERROR(ISNUMBER(SEARCH($A78,IFERROR(VLOOKUP($O78,'Exceptions'!$A$5:$M$204,3,FALSE),""))),FALSE)))),"MISSING OR INVALID N/A DECISION",IF(AND($Q78=1,OR($H78="Partially met",$H78="Unmet"),OR($K78&lt;1,$L78&lt;&gt;"Yes")),"KNOWN RATING NEEDS FRESH E1",IF(AND($Q78=1,$H78="Met",OR($K78&lt;VALUE(RIGHT($G78,1)),$L78&lt;&gt;"Yes")),"EVIDENCE BELOW MINIMUM",IF(AND($Q78=1,OR($H78="",$H78="Unknown")),"UNASSESSED",IF(AND($H78="N/A",AND($P78&lt;&gt;"",$O78&lt;&gt;"",IFERROR(VLOOKUP($O78,'Exceptions'!$A$5:$M$204,2,FALSE),"")="N/A determination",IFERROR(VLOOKUP($O78,'Exceptions'!$A$5:$M$204,13,FALSE),"")="Active",IFERROR(ISNUMBER(SEARCH($A78,IFERROR(VLOOKUP($O78,'Exceptions'!$A$5:$M$204,3,FALSE),""))),FALSE))),"N/A APPROVED",IF($O78&lt;&gt;"","EXCEPTION REVIEW","OK")))))))</x:f>
      </x:c>
    </x:row>
    <x:row r="79">
      <x:c r="H79" s="8"/>
      <x:c r="I79" t="str">
        <x:f>IF($A79="","",IF($H79="Met",1,IF($H79="Partially met",0.5,IF(OR($H79="Unmet",$H79="Unknown"),0,""))))</x:f>
      </x:c>
      <x:c r="J79" s="8"/>
      <x:c r="K79" t="str">
        <x:f>IF($A79="","",IF($J79="E4",4,IF($J79="E3",3,IF($J79="E2",2,IF($J79="E1",1,0)))))</x:f>
      </x:c>
      <x:c r="L79" s="8"/>
      <x:c r="M79" s="8"/>
      <x:c r="N79" s="8"/>
      <x:c r="O79" s="8"/>
      <x:c r="P79" s="8"/>
      <x:c r="Q79" t="str">
        <x:f>IF($A79="","",IF($D79="Baseline",1,IF($D79="Elevated",IF(OR('Profile'!$B$11="Elevated",'Profile'!$B$11="Critical"),1,0),IF($D79="Critical",IF('Profile'!$B$11="Critical",1,0),1))))</x:f>
      </x:c>
      <x:c r="R79" t="str">
        <x:f>IF($A79="","",IF($Q79=0,0,IF($H79="N/A",0,IF($H79="Met",IF(AND($K79&gt;=VALUE(RIGHT($G79,1)),$L79="Yes"),1,0),IF($H79="Partially met",IF(AND($K79&gt;=1,$L79="Yes"),0.5,0),0)))))</x:f>
      </x:c>
      <x:c r="S79" t="str">
        <x:f>IF($A79="","",IF($Q79=0,0,IF($H79="N/A",IF(AND($P79&lt;&gt;"",$O79&lt;&gt;"",IFERROR(VLOOKUP($O79,'Exceptions'!$A$5:$M$204,2,FALSE),"")="N/A determination",IFERROR(VLOOKUP($O79,'Exceptions'!$A$5:$M$204,13,FALSE),"")="Active",IFERROR(ISNUMBER(SEARCH($A79,IFERROR(VLOOKUP($O79,'Exceptions'!$A$5:$M$204,3,FALSE),""))),FALSE)),0,1),1)))</x:f>
      </x:c>
      <x:c r="T79" t="str">
        <x:f>IF($A79="","",IF($C79="","",IF($H79="N/A",IF(AND($P79&lt;&gt;"",$O79&lt;&gt;"",IFERROR(VLOOKUP($O79,'Exceptions'!$A$5:$M$204,2,FALSE),"")="N/A determination",IFERROR(VLOOKUP($O79,'Exceptions'!$A$5:$M$204,13,FALSE),"")="Active",IFERROR(ISNUMBER(SEARCH($A79,IFERROR(VLOOKUP($O79,'Exceptions'!$A$5:$M$204,3,FALSE),""))),FALSE)),"N/A","FAIL"),IF(OR($H79="Unknown",$H79="",$K79=0,$L79&lt;&gt;"Yes"),"UNKNOWN",IF($H79="Met",IF($K79&gt;=VALUE(RIGHT($G79,1)),"PASS","UNKNOWN"),IF(OR($H79="Partially met",$H79="Unmet"),"FAIL","UNKNOWN"))))))</x:f>
      </x:c>
      <x:c r="U79" t="str">
        <x:f>IF($A79="","",IF($S79=0,0,IF(AND($K79&gt;=1,$L79="Yes"),1,0)))</x:f>
      </x:c>
      <x:c r="V79" t="str">
        <x:f>IF($A79="","",IF(OR($S79=0,$H79="N/A",$L79&lt;&gt;"Yes"),0,$K79))</x:f>
      </x:c>
      <x:c r="AB79" t="str">
        <x:f>IF($A79="","",IF(AND($Q79=1,$H79="N/A",NOT(AND($P79&lt;&gt;"",$O79&lt;&gt;"",IFERROR(VLOOKUP($O79,'Exceptions'!$A$5:$M$204,2,FALSE),"")="N/A determination",IFERROR(VLOOKUP($O79,'Exceptions'!$A$5:$M$204,13,FALSE),"")="Active",IFERROR(ISNUMBER(SEARCH($A79,IFERROR(VLOOKUP($O79,'Exceptions'!$A$5:$M$204,3,FALSE),""))),FALSE)))),"MISSING OR INVALID N/A DECISION",IF(AND($Q79=1,OR($H79="Partially met",$H79="Unmet"),OR($K79&lt;1,$L79&lt;&gt;"Yes")),"KNOWN RATING NEEDS FRESH E1",IF(AND($Q79=1,$H79="Met",OR($K79&lt;VALUE(RIGHT($G79,1)),$L79&lt;&gt;"Yes")),"EVIDENCE BELOW MINIMUM",IF(AND($Q79=1,OR($H79="",$H79="Unknown")),"UNASSESSED",IF(AND($H79="N/A",AND($P79&lt;&gt;"",$O79&lt;&gt;"",IFERROR(VLOOKUP($O79,'Exceptions'!$A$5:$M$204,2,FALSE),"")="N/A determination",IFERROR(VLOOKUP($O79,'Exceptions'!$A$5:$M$204,13,FALSE),"")="Active",IFERROR(ISNUMBER(SEARCH($A79,IFERROR(VLOOKUP($O79,'Exceptions'!$A$5:$M$204,3,FALSE),""))),FALSE))),"N/A APPROVED",IF($O79&lt;&gt;"","EXCEPTION REVIEW","OK")))))))</x:f>
      </x:c>
    </x:row>
    <x:row r="80">
      <x:c r="H80" s="8"/>
      <x:c r="I80" t="str">
        <x:f>IF($A80="","",IF($H80="Met",1,IF($H80="Partially met",0.5,IF(OR($H80="Unmet",$H80="Unknown"),0,""))))</x:f>
      </x:c>
      <x:c r="J80" s="8"/>
      <x:c r="K80" t="str">
        <x:f>IF($A80="","",IF($J80="E4",4,IF($J80="E3",3,IF($J80="E2",2,IF($J80="E1",1,0)))))</x:f>
      </x:c>
      <x:c r="L80" s="8"/>
      <x:c r="M80" s="8"/>
      <x:c r="N80" s="8"/>
      <x:c r="O80" s="8"/>
      <x:c r="P80" s="8"/>
      <x:c r="Q80" t="str">
        <x:f>IF($A80="","",IF($D80="Baseline",1,IF($D80="Elevated",IF(OR('Profile'!$B$11="Elevated",'Profile'!$B$11="Critical"),1,0),IF($D80="Critical",IF('Profile'!$B$11="Critical",1,0),1))))</x:f>
      </x:c>
      <x:c r="R80" t="str">
        <x:f>IF($A80="","",IF($Q80=0,0,IF($H80="N/A",0,IF($H80="Met",IF(AND($K80&gt;=VALUE(RIGHT($G80,1)),$L80="Yes"),1,0),IF($H80="Partially met",IF(AND($K80&gt;=1,$L80="Yes"),0.5,0),0)))))</x:f>
      </x:c>
      <x:c r="S80" t="str">
        <x:f>IF($A80="","",IF($Q80=0,0,IF($H80="N/A",IF(AND($P80&lt;&gt;"",$O80&lt;&gt;"",IFERROR(VLOOKUP($O80,'Exceptions'!$A$5:$M$204,2,FALSE),"")="N/A determination",IFERROR(VLOOKUP($O80,'Exceptions'!$A$5:$M$204,13,FALSE),"")="Active",IFERROR(ISNUMBER(SEARCH($A80,IFERROR(VLOOKUP($O80,'Exceptions'!$A$5:$M$204,3,FALSE),""))),FALSE)),0,1),1)))</x:f>
      </x:c>
      <x:c r="T80" t="str">
        <x:f>IF($A80="","",IF($C80="","",IF($H80="N/A",IF(AND($P80&lt;&gt;"",$O80&lt;&gt;"",IFERROR(VLOOKUP($O80,'Exceptions'!$A$5:$M$204,2,FALSE),"")="N/A determination",IFERROR(VLOOKUP($O80,'Exceptions'!$A$5:$M$204,13,FALSE),"")="Active",IFERROR(ISNUMBER(SEARCH($A80,IFERROR(VLOOKUP($O80,'Exceptions'!$A$5:$M$204,3,FALSE),""))),FALSE)),"N/A","FAIL"),IF(OR($H80="Unknown",$H80="",$K80=0,$L80&lt;&gt;"Yes"),"UNKNOWN",IF($H80="Met",IF($K80&gt;=VALUE(RIGHT($G80,1)),"PASS","UNKNOWN"),IF(OR($H80="Partially met",$H80="Unmet"),"FAIL","UNKNOWN"))))))</x:f>
      </x:c>
      <x:c r="U80" t="str">
        <x:f>IF($A80="","",IF($S80=0,0,IF(AND($K80&gt;=1,$L80="Yes"),1,0)))</x:f>
      </x:c>
      <x:c r="V80" t="str">
        <x:f>IF($A80="","",IF(OR($S80=0,$H80="N/A",$L80&lt;&gt;"Yes"),0,$K80))</x:f>
      </x:c>
      <x:c r="AB80" t="str">
        <x:f>IF($A80="","",IF(AND($Q80=1,$H80="N/A",NOT(AND($P80&lt;&gt;"",$O80&lt;&gt;"",IFERROR(VLOOKUP($O80,'Exceptions'!$A$5:$M$204,2,FALSE),"")="N/A determination",IFERROR(VLOOKUP($O80,'Exceptions'!$A$5:$M$204,13,FALSE),"")="Active",IFERROR(ISNUMBER(SEARCH($A80,IFERROR(VLOOKUP($O80,'Exceptions'!$A$5:$M$204,3,FALSE),""))),FALSE)))),"MISSING OR INVALID N/A DECISION",IF(AND($Q80=1,OR($H80="Partially met",$H80="Unmet"),OR($K80&lt;1,$L80&lt;&gt;"Yes")),"KNOWN RATING NEEDS FRESH E1",IF(AND($Q80=1,$H80="Met",OR($K80&lt;VALUE(RIGHT($G80,1)),$L80&lt;&gt;"Yes")),"EVIDENCE BELOW MINIMUM",IF(AND($Q80=1,OR($H80="",$H80="Unknown")),"UNASSESSED",IF(AND($H80="N/A",AND($P80&lt;&gt;"",$O80&lt;&gt;"",IFERROR(VLOOKUP($O80,'Exceptions'!$A$5:$M$204,2,FALSE),"")="N/A determination",IFERROR(VLOOKUP($O80,'Exceptions'!$A$5:$M$204,13,FALSE),"")="Active",IFERROR(ISNUMBER(SEARCH($A80,IFERROR(VLOOKUP($O80,'Exceptions'!$A$5:$M$204,3,FALSE),""))),FALSE))),"N/A APPROVED",IF($O80&lt;&gt;"","EXCEPTION REVIEW","OK")))))))</x:f>
      </x:c>
    </x:row>
    <x:row r="81">
      <x:c r="H81" s="8"/>
      <x:c r="I81" t="str">
        <x:f>IF($A81="","",IF($H81="Met",1,IF($H81="Partially met",0.5,IF(OR($H81="Unmet",$H81="Unknown"),0,""))))</x:f>
      </x:c>
      <x:c r="J81" s="8"/>
      <x:c r="K81" t="str">
        <x:f>IF($A81="","",IF($J81="E4",4,IF($J81="E3",3,IF($J81="E2",2,IF($J81="E1",1,0)))))</x:f>
      </x:c>
      <x:c r="L81" s="8"/>
      <x:c r="M81" s="8"/>
      <x:c r="N81" s="8"/>
      <x:c r="O81" s="8"/>
      <x:c r="P81" s="8"/>
      <x:c r="Q81" t="str">
        <x:f>IF($A81="","",IF($D81="Baseline",1,IF($D81="Elevated",IF(OR('Profile'!$B$11="Elevated",'Profile'!$B$11="Critical"),1,0),IF($D81="Critical",IF('Profile'!$B$11="Critical",1,0),1))))</x:f>
      </x:c>
      <x:c r="R81" t="str">
        <x:f>IF($A81="","",IF($Q81=0,0,IF($H81="N/A",0,IF($H81="Met",IF(AND($K81&gt;=VALUE(RIGHT($G81,1)),$L81="Yes"),1,0),IF($H81="Partially met",IF(AND($K81&gt;=1,$L81="Yes"),0.5,0),0)))))</x:f>
      </x:c>
      <x:c r="S81" t="str">
        <x:f>IF($A81="","",IF($Q81=0,0,IF($H81="N/A",IF(AND($P81&lt;&gt;"",$O81&lt;&gt;"",IFERROR(VLOOKUP($O81,'Exceptions'!$A$5:$M$204,2,FALSE),"")="N/A determination",IFERROR(VLOOKUP($O81,'Exceptions'!$A$5:$M$204,13,FALSE),"")="Active",IFERROR(ISNUMBER(SEARCH($A81,IFERROR(VLOOKUP($O81,'Exceptions'!$A$5:$M$204,3,FALSE),""))),FALSE)),0,1),1)))</x:f>
      </x:c>
      <x:c r="T81" t="str">
        <x:f>IF($A81="","",IF($C81="","",IF($H81="N/A",IF(AND($P81&lt;&gt;"",$O81&lt;&gt;"",IFERROR(VLOOKUP($O81,'Exceptions'!$A$5:$M$204,2,FALSE),"")="N/A determination",IFERROR(VLOOKUP($O81,'Exceptions'!$A$5:$M$204,13,FALSE),"")="Active",IFERROR(ISNUMBER(SEARCH($A81,IFERROR(VLOOKUP($O81,'Exceptions'!$A$5:$M$204,3,FALSE),""))),FALSE)),"N/A","FAIL"),IF(OR($H81="Unknown",$H81="",$K81=0,$L81&lt;&gt;"Yes"),"UNKNOWN",IF($H81="Met",IF($K81&gt;=VALUE(RIGHT($G81,1)),"PASS","UNKNOWN"),IF(OR($H81="Partially met",$H81="Unmet"),"FAIL","UNKNOWN"))))))</x:f>
      </x:c>
      <x:c r="U81" t="str">
        <x:f>IF($A81="","",IF($S81=0,0,IF(AND($K81&gt;=1,$L81="Yes"),1,0)))</x:f>
      </x:c>
      <x:c r="V81" t="str">
        <x:f>IF($A81="","",IF(OR($S81=0,$H81="N/A",$L81&lt;&gt;"Yes"),0,$K81))</x:f>
      </x:c>
      <x:c r="AB81" t="str">
        <x:f>IF($A81="","",IF(AND($Q81=1,$H81="N/A",NOT(AND($P81&lt;&gt;"",$O81&lt;&gt;"",IFERROR(VLOOKUP($O81,'Exceptions'!$A$5:$M$204,2,FALSE),"")="N/A determination",IFERROR(VLOOKUP($O81,'Exceptions'!$A$5:$M$204,13,FALSE),"")="Active",IFERROR(ISNUMBER(SEARCH($A81,IFERROR(VLOOKUP($O81,'Exceptions'!$A$5:$M$204,3,FALSE),""))),FALSE)))),"MISSING OR INVALID N/A DECISION",IF(AND($Q81=1,OR($H81="Partially met",$H81="Unmet"),OR($K81&lt;1,$L81&lt;&gt;"Yes")),"KNOWN RATING NEEDS FRESH E1",IF(AND($Q81=1,$H81="Met",OR($K81&lt;VALUE(RIGHT($G81,1)),$L81&lt;&gt;"Yes")),"EVIDENCE BELOW MINIMUM",IF(AND($Q81=1,OR($H81="",$H81="Unknown")),"UNASSESSED",IF(AND($H81="N/A",AND($P81&lt;&gt;"",$O81&lt;&gt;"",IFERROR(VLOOKUP($O81,'Exceptions'!$A$5:$M$204,2,FALSE),"")="N/A determination",IFERROR(VLOOKUP($O81,'Exceptions'!$A$5:$M$204,13,FALSE),"")="Active",IFERROR(ISNUMBER(SEARCH($A81,IFERROR(VLOOKUP($O81,'Exceptions'!$A$5:$M$204,3,FALSE),""))),FALSE))),"N/A APPROVED",IF($O81&lt;&gt;"","EXCEPTION REVIEW","OK")))))))</x:f>
      </x:c>
    </x:row>
    <x:row r="82">
      <x:c r="H82" s="8"/>
      <x:c r="I82" t="str">
        <x:f>IF($A82="","",IF($H82="Met",1,IF($H82="Partially met",0.5,IF(OR($H82="Unmet",$H82="Unknown"),0,""))))</x:f>
      </x:c>
      <x:c r="J82" s="8"/>
      <x:c r="K82" t="str">
        <x:f>IF($A82="","",IF($J82="E4",4,IF($J82="E3",3,IF($J82="E2",2,IF($J82="E1",1,0)))))</x:f>
      </x:c>
      <x:c r="L82" s="8"/>
      <x:c r="M82" s="8"/>
      <x:c r="N82" s="8"/>
      <x:c r="O82" s="8"/>
      <x:c r="P82" s="8"/>
      <x:c r="Q82" t="str">
        <x:f>IF($A82="","",IF($D82="Baseline",1,IF($D82="Elevated",IF(OR('Profile'!$B$11="Elevated",'Profile'!$B$11="Critical"),1,0),IF($D82="Critical",IF('Profile'!$B$11="Critical",1,0),1))))</x:f>
      </x:c>
      <x:c r="R82" t="str">
        <x:f>IF($A82="","",IF($Q82=0,0,IF($H82="N/A",0,IF($H82="Met",IF(AND($K82&gt;=VALUE(RIGHT($G82,1)),$L82="Yes"),1,0),IF($H82="Partially met",IF(AND($K82&gt;=1,$L82="Yes"),0.5,0),0)))))</x:f>
      </x:c>
      <x:c r="S82" t="str">
        <x:f>IF($A82="","",IF($Q82=0,0,IF($H82="N/A",IF(AND($P82&lt;&gt;"",$O82&lt;&gt;"",IFERROR(VLOOKUP($O82,'Exceptions'!$A$5:$M$204,2,FALSE),"")="N/A determination",IFERROR(VLOOKUP($O82,'Exceptions'!$A$5:$M$204,13,FALSE),"")="Active",IFERROR(ISNUMBER(SEARCH($A82,IFERROR(VLOOKUP($O82,'Exceptions'!$A$5:$M$204,3,FALSE),""))),FALSE)),0,1),1)))</x:f>
      </x:c>
      <x:c r="T82" t="str">
        <x:f>IF($A82="","",IF($C82="","",IF($H82="N/A",IF(AND($P82&lt;&gt;"",$O82&lt;&gt;"",IFERROR(VLOOKUP($O82,'Exceptions'!$A$5:$M$204,2,FALSE),"")="N/A determination",IFERROR(VLOOKUP($O82,'Exceptions'!$A$5:$M$204,13,FALSE),"")="Active",IFERROR(ISNUMBER(SEARCH($A82,IFERROR(VLOOKUP($O82,'Exceptions'!$A$5:$M$204,3,FALSE),""))),FALSE)),"N/A","FAIL"),IF(OR($H82="Unknown",$H82="",$K82=0,$L82&lt;&gt;"Yes"),"UNKNOWN",IF($H82="Met",IF($K82&gt;=VALUE(RIGHT($G82,1)),"PASS","UNKNOWN"),IF(OR($H82="Partially met",$H82="Unmet"),"FAIL","UNKNOWN"))))))</x:f>
      </x:c>
      <x:c r="U82" t="str">
        <x:f>IF($A82="","",IF($S82=0,0,IF(AND($K82&gt;=1,$L82="Yes"),1,0)))</x:f>
      </x:c>
      <x:c r="V82" t="str">
        <x:f>IF($A82="","",IF(OR($S82=0,$H82="N/A",$L82&lt;&gt;"Yes"),0,$K82))</x:f>
      </x:c>
      <x:c r="AB82" t="str">
        <x:f>IF($A82="","",IF(AND($Q82=1,$H82="N/A",NOT(AND($P82&lt;&gt;"",$O82&lt;&gt;"",IFERROR(VLOOKUP($O82,'Exceptions'!$A$5:$M$204,2,FALSE),"")="N/A determination",IFERROR(VLOOKUP($O82,'Exceptions'!$A$5:$M$204,13,FALSE),"")="Active",IFERROR(ISNUMBER(SEARCH($A82,IFERROR(VLOOKUP($O82,'Exceptions'!$A$5:$M$204,3,FALSE),""))),FALSE)))),"MISSING OR INVALID N/A DECISION",IF(AND($Q82=1,OR($H82="Partially met",$H82="Unmet"),OR($K82&lt;1,$L82&lt;&gt;"Yes")),"KNOWN RATING NEEDS FRESH E1",IF(AND($Q82=1,$H82="Met",OR($K82&lt;VALUE(RIGHT($G82,1)),$L82&lt;&gt;"Yes")),"EVIDENCE BELOW MINIMUM",IF(AND($Q82=1,OR($H82="",$H82="Unknown")),"UNASSESSED",IF(AND($H82="N/A",AND($P82&lt;&gt;"",$O82&lt;&gt;"",IFERROR(VLOOKUP($O82,'Exceptions'!$A$5:$M$204,2,FALSE),"")="N/A determination",IFERROR(VLOOKUP($O82,'Exceptions'!$A$5:$M$204,13,FALSE),"")="Active",IFERROR(ISNUMBER(SEARCH($A82,IFERROR(VLOOKUP($O82,'Exceptions'!$A$5:$M$204,3,FALSE),""))),FALSE))),"N/A APPROVED",IF($O82&lt;&gt;"","EXCEPTION REVIEW","OK")))))))</x:f>
      </x:c>
    </x:row>
    <x:row r="83">
      <x:c r="H83" s="8"/>
      <x:c r="I83" t="str">
        <x:f>IF($A83="","",IF($H83="Met",1,IF($H83="Partially met",0.5,IF(OR($H83="Unmet",$H83="Unknown"),0,""))))</x:f>
      </x:c>
      <x:c r="J83" s="8"/>
      <x:c r="K83" t="str">
        <x:f>IF($A83="","",IF($J83="E4",4,IF($J83="E3",3,IF($J83="E2",2,IF($J83="E1",1,0)))))</x:f>
      </x:c>
      <x:c r="L83" s="8"/>
      <x:c r="M83" s="8"/>
      <x:c r="N83" s="8"/>
      <x:c r="O83" s="8"/>
      <x:c r="P83" s="8"/>
      <x:c r="Q83" t="str">
        <x:f>IF($A83="","",IF($D83="Baseline",1,IF($D83="Elevated",IF(OR('Profile'!$B$11="Elevated",'Profile'!$B$11="Critical"),1,0),IF($D83="Critical",IF('Profile'!$B$11="Critical",1,0),1))))</x:f>
      </x:c>
      <x:c r="R83" t="str">
        <x:f>IF($A83="","",IF($Q83=0,0,IF($H83="N/A",0,IF($H83="Met",IF(AND($K83&gt;=VALUE(RIGHT($G83,1)),$L83="Yes"),1,0),IF($H83="Partially met",IF(AND($K83&gt;=1,$L83="Yes"),0.5,0),0)))))</x:f>
      </x:c>
      <x:c r="S83" t="str">
        <x:f>IF($A83="","",IF($Q83=0,0,IF($H83="N/A",IF(AND($P83&lt;&gt;"",$O83&lt;&gt;"",IFERROR(VLOOKUP($O83,'Exceptions'!$A$5:$M$204,2,FALSE),"")="N/A determination",IFERROR(VLOOKUP($O83,'Exceptions'!$A$5:$M$204,13,FALSE),"")="Active",IFERROR(ISNUMBER(SEARCH($A83,IFERROR(VLOOKUP($O83,'Exceptions'!$A$5:$M$204,3,FALSE),""))),FALSE)),0,1),1)))</x:f>
      </x:c>
      <x:c r="T83" t="str">
        <x:f>IF($A83="","",IF($C83="","",IF($H83="N/A",IF(AND($P83&lt;&gt;"",$O83&lt;&gt;"",IFERROR(VLOOKUP($O83,'Exceptions'!$A$5:$M$204,2,FALSE),"")="N/A determination",IFERROR(VLOOKUP($O83,'Exceptions'!$A$5:$M$204,13,FALSE),"")="Active",IFERROR(ISNUMBER(SEARCH($A83,IFERROR(VLOOKUP($O83,'Exceptions'!$A$5:$M$204,3,FALSE),""))),FALSE)),"N/A","FAIL"),IF(OR($H83="Unknown",$H83="",$K83=0,$L83&lt;&gt;"Yes"),"UNKNOWN",IF($H83="Met",IF($K83&gt;=VALUE(RIGHT($G83,1)),"PASS","UNKNOWN"),IF(OR($H83="Partially met",$H83="Unmet"),"FAIL","UNKNOWN"))))))</x:f>
      </x:c>
      <x:c r="U83" t="str">
        <x:f>IF($A83="","",IF($S83=0,0,IF(AND($K83&gt;=1,$L83="Yes"),1,0)))</x:f>
      </x:c>
      <x:c r="V83" t="str">
        <x:f>IF($A83="","",IF(OR($S83=0,$H83="N/A",$L83&lt;&gt;"Yes"),0,$K83))</x:f>
      </x:c>
      <x:c r="AB83" t="str">
        <x:f>IF($A83="","",IF(AND($Q83=1,$H83="N/A",NOT(AND($P83&lt;&gt;"",$O83&lt;&gt;"",IFERROR(VLOOKUP($O83,'Exceptions'!$A$5:$M$204,2,FALSE),"")="N/A determination",IFERROR(VLOOKUP($O83,'Exceptions'!$A$5:$M$204,13,FALSE),"")="Active",IFERROR(ISNUMBER(SEARCH($A83,IFERROR(VLOOKUP($O83,'Exceptions'!$A$5:$M$204,3,FALSE),""))),FALSE)))),"MISSING OR INVALID N/A DECISION",IF(AND($Q83=1,OR($H83="Partially met",$H83="Unmet"),OR($K83&lt;1,$L83&lt;&gt;"Yes")),"KNOWN RATING NEEDS FRESH E1",IF(AND($Q83=1,$H83="Met",OR($K83&lt;VALUE(RIGHT($G83,1)),$L83&lt;&gt;"Yes")),"EVIDENCE BELOW MINIMUM",IF(AND($Q83=1,OR($H83="",$H83="Unknown")),"UNASSESSED",IF(AND($H83="N/A",AND($P83&lt;&gt;"",$O83&lt;&gt;"",IFERROR(VLOOKUP($O83,'Exceptions'!$A$5:$M$204,2,FALSE),"")="N/A determination",IFERROR(VLOOKUP($O83,'Exceptions'!$A$5:$M$204,13,FALSE),"")="Active",IFERROR(ISNUMBER(SEARCH($A83,IFERROR(VLOOKUP($O83,'Exceptions'!$A$5:$M$204,3,FALSE),""))),FALSE))),"N/A APPROVED",IF($O83&lt;&gt;"","EXCEPTION REVIEW","OK")))))))</x:f>
      </x:c>
    </x:row>
    <x:row r="84">
      <x:c r="H84" s="8"/>
      <x:c r="I84" t="str">
        <x:f>IF($A84="","",IF($H84="Met",1,IF($H84="Partially met",0.5,IF(OR($H84="Unmet",$H84="Unknown"),0,""))))</x:f>
      </x:c>
      <x:c r="J84" s="8"/>
      <x:c r="K84" t="str">
        <x:f>IF($A84="","",IF($J84="E4",4,IF($J84="E3",3,IF($J84="E2",2,IF($J84="E1",1,0)))))</x:f>
      </x:c>
      <x:c r="L84" s="8"/>
      <x:c r="M84" s="8"/>
      <x:c r="N84" s="8"/>
      <x:c r="O84" s="8"/>
      <x:c r="P84" s="8"/>
      <x:c r="Q84" t="str">
        <x:f>IF($A84="","",IF($D84="Baseline",1,IF($D84="Elevated",IF(OR('Profile'!$B$11="Elevated",'Profile'!$B$11="Critical"),1,0),IF($D84="Critical",IF('Profile'!$B$11="Critical",1,0),1))))</x:f>
      </x:c>
      <x:c r="R84" t="str">
        <x:f>IF($A84="","",IF($Q84=0,0,IF($H84="N/A",0,IF($H84="Met",IF(AND($K84&gt;=VALUE(RIGHT($G84,1)),$L84="Yes"),1,0),IF($H84="Partially met",IF(AND($K84&gt;=1,$L84="Yes"),0.5,0),0)))))</x:f>
      </x:c>
      <x:c r="S84" t="str">
        <x:f>IF($A84="","",IF($Q84=0,0,IF($H84="N/A",IF(AND($P84&lt;&gt;"",$O84&lt;&gt;"",IFERROR(VLOOKUP($O84,'Exceptions'!$A$5:$M$204,2,FALSE),"")="N/A determination",IFERROR(VLOOKUP($O84,'Exceptions'!$A$5:$M$204,13,FALSE),"")="Active",IFERROR(ISNUMBER(SEARCH($A84,IFERROR(VLOOKUP($O84,'Exceptions'!$A$5:$M$204,3,FALSE),""))),FALSE)),0,1),1)))</x:f>
      </x:c>
      <x:c r="T84" t="str">
        <x:f>IF($A84="","",IF($C84="","",IF($H84="N/A",IF(AND($P84&lt;&gt;"",$O84&lt;&gt;"",IFERROR(VLOOKUP($O84,'Exceptions'!$A$5:$M$204,2,FALSE),"")="N/A determination",IFERROR(VLOOKUP($O84,'Exceptions'!$A$5:$M$204,13,FALSE),"")="Active",IFERROR(ISNUMBER(SEARCH($A84,IFERROR(VLOOKUP($O84,'Exceptions'!$A$5:$M$204,3,FALSE),""))),FALSE)),"N/A","FAIL"),IF(OR($H84="Unknown",$H84="",$K84=0,$L84&lt;&gt;"Yes"),"UNKNOWN",IF($H84="Met",IF($K84&gt;=VALUE(RIGHT($G84,1)),"PASS","UNKNOWN"),IF(OR($H84="Partially met",$H84="Unmet"),"FAIL","UNKNOWN"))))))</x:f>
      </x:c>
      <x:c r="U84" t="str">
        <x:f>IF($A84="","",IF($S84=0,0,IF(AND($K84&gt;=1,$L84="Yes"),1,0)))</x:f>
      </x:c>
      <x:c r="V84" t="str">
        <x:f>IF($A84="","",IF(OR($S84=0,$H84="N/A",$L84&lt;&gt;"Yes"),0,$K84))</x:f>
      </x:c>
      <x:c r="AB84" t="str">
        <x:f>IF($A84="","",IF(AND($Q84=1,$H84="N/A",NOT(AND($P84&lt;&gt;"",$O84&lt;&gt;"",IFERROR(VLOOKUP($O84,'Exceptions'!$A$5:$M$204,2,FALSE),"")="N/A determination",IFERROR(VLOOKUP($O84,'Exceptions'!$A$5:$M$204,13,FALSE),"")="Active",IFERROR(ISNUMBER(SEARCH($A84,IFERROR(VLOOKUP($O84,'Exceptions'!$A$5:$M$204,3,FALSE),""))),FALSE)))),"MISSING OR INVALID N/A DECISION",IF(AND($Q84=1,OR($H84="Partially met",$H84="Unmet"),OR($K84&lt;1,$L84&lt;&gt;"Yes")),"KNOWN RATING NEEDS FRESH E1",IF(AND($Q84=1,$H84="Met",OR($K84&lt;VALUE(RIGHT($G84,1)),$L84&lt;&gt;"Yes")),"EVIDENCE BELOW MINIMUM",IF(AND($Q84=1,OR($H84="",$H84="Unknown")),"UNASSESSED",IF(AND($H84="N/A",AND($P84&lt;&gt;"",$O84&lt;&gt;"",IFERROR(VLOOKUP($O84,'Exceptions'!$A$5:$M$204,2,FALSE),"")="N/A determination",IFERROR(VLOOKUP($O84,'Exceptions'!$A$5:$M$204,13,FALSE),"")="Active",IFERROR(ISNUMBER(SEARCH($A84,IFERROR(VLOOKUP($O84,'Exceptions'!$A$5:$M$204,3,FALSE),""))),FALSE))),"N/A APPROVED",IF($O84&lt;&gt;"","EXCEPTION REVIEW","OK")))))))</x:f>
      </x:c>
    </x:row>
    <x:row r="85">
      <x:c r="H85" s="8"/>
      <x:c r="I85" t="str">
        <x:f>IF($A85="","",IF($H85="Met",1,IF($H85="Partially met",0.5,IF(OR($H85="Unmet",$H85="Unknown"),0,""))))</x:f>
      </x:c>
      <x:c r="J85" s="8"/>
      <x:c r="K85" t="str">
        <x:f>IF($A85="","",IF($J85="E4",4,IF($J85="E3",3,IF($J85="E2",2,IF($J85="E1",1,0)))))</x:f>
      </x:c>
      <x:c r="L85" s="8"/>
      <x:c r="M85" s="8"/>
      <x:c r="N85" s="8"/>
      <x:c r="O85" s="8"/>
      <x:c r="P85" s="8"/>
      <x:c r="Q85" t="str">
        <x:f>IF($A85="","",IF($D85="Baseline",1,IF($D85="Elevated",IF(OR('Profile'!$B$11="Elevated",'Profile'!$B$11="Critical"),1,0),IF($D85="Critical",IF('Profile'!$B$11="Critical",1,0),1))))</x:f>
      </x:c>
      <x:c r="R85" t="str">
        <x:f>IF($A85="","",IF($Q85=0,0,IF($H85="N/A",0,IF($H85="Met",IF(AND($K85&gt;=VALUE(RIGHT($G85,1)),$L85="Yes"),1,0),IF($H85="Partially met",IF(AND($K85&gt;=1,$L85="Yes"),0.5,0),0)))))</x:f>
      </x:c>
      <x:c r="S85" t="str">
        <x:f>IF($A85="","",IF($Q85=0,0,IF($H85="N/A",IF(AND($P85&lt;&gt;"",$O85&lt;&gt;"",IFERROR(VLOOKUP($O85,'Exceptions'!$A$5:$M$204,2,FALSE),"")="N/A determination",IFERROR(VLOOKUP($O85,'Exceptions'!$A$5:$M$204,13,FALSE),"")="Active",IFERROR(ISNUMBER(SEARCH($A85,IFERROR(VLOOKUP($O85,'Exceptions'!$A$5:$M$204,3,FALSE),""))),FALSE)),0,1),1)))</x:f>
      </x:c>
      <x:c r="T85" t="str">
        <x:f>IF($A85="","",IF($C85="","",IF($H85="N/A",IF(AND($P85&lt;&gt;"",$O85&lt;&gt;"",IFERROR(VLOOKUP($O85,'Exceptions'!$A$5:$M$204,2,FALSE),"")="N/A determination",IFERROR(VLOOKUP($O85,'Exceptions'!$A$5:$M$204,13,FALSE),"")="Active",IFERROR(ISNUMBER(SEARCH($A85,IFERROR(VLOOKUP($O85,'Exceptions'!$A$5:$M$204,3,FALSE),""))),FALSE)),"N/A","FAIL"),IF(OR($H85="Unknown",$H85="",$K85=0,$L85&lt;&gt;"Yes"),"UNKNOWN",IF($H85="Met",IF($K85&gt;=VALUE(RIGHT($G85,1)),"PASS","UNKNOWN"),IF(OR($H85="Partially met",$H85="Unmet"),"FAIL","UNKNOWN"))))))</x:f>
      </x:c>
      <x:c r="U85" t="str">
        <x:f>IF($A85="","",IF($S85=0,0,IF(AND($K85&gt;=1,$L85="Yes"),1,0)))</x:f>
      </x:c>
      <x:c r="V85" t="str">
        <x:f>IF($A85="","",IF(OR($S85=0,$H85="N/A",$L85&lt;&gt;"Yes"),0,$K85))</x:f>
      </x:c>
      <x:c r="AB85" t="str">
        <x:f>IF($A85="","",IF(AND($Q85=1,$H85="N/A",NOT(AND($P85&lt;&gt;"",$O85&lt;&gt;"",IFERROR(VLOOKUP($O85,'Exceptions'!$A$5:$M$204,2,FALSE),"")="N/A determination",IFERROR(VLOOKUP($O85,'Exceptions'!$A$5:$M$204,13,FALSE),"")="Active",IFERROR(ISNUMBER(SEARCH($A85,IFERROR(VLOOKUP($O85,'Exceptions'!$A$5:$M$204,3,FALSE),""))),FALSE)))),"MISSING OR INVALID N/A DECISION",IF(AND($Q85=1,OR($H85="Partially met",$H85="Unmet"),OR($K85&lt;1,$L85&lt;&gt;"Yes")),"KNOWN RATING NEEDS FRESH E1",IF(AND($Q85=1,$H85="Met",OR($K85&lt;VALUE(RIGHT($G85,1)),$L85&lt;&gt;"Yes")),"EVIDENCE BELOW MINIMUM",IF(AND($Q85=1,OR($H85="",$H85="Unknown")),"UNASSESSED",IF(AND($H85="N/A",AND($P85&lt;&gt;"",$O85&lt;&gt;"",IFERROR(VLOOKUP($O85,'Exceptions'!$A$5:$M$204,2,FALSE),"")="N/A determination",IFERROR(VLOOKUP($O85,'Exceptions'!$A$5:$M$204,13,FALSE),"")="Active",IFERROR(ISNUMBER(SEARCH($A85,IFERROR(VLOOKUP($O85,'Exceptions'!$A$5:$M$204,3,FALSE),""))),FALSE))),"N/A APPROVED",IF($O85&lt;&gt;"","EXCEPTION REVIEW","OK")))))))</x:f>
      </x:c>
    </x:row>
    <x:row r="86">
      <x:c r="H86" s="8"/>
      <x:c r="I86" t="str">
        <x:f>IF($A86="","",IF($H86="Met",1,IF($H86="Partially met",0.5,IF(OR($H86="Unmet",$H86="Unknown"),0,""))))</x:f>
      </x:c>
      <x:c r="J86" s="8"/>
      <x:c r="K86" t="str">
        <x:f>IF($A86="","",IF($J86="E4",4,IF($J86="E3",3,IF($J86="E2",2,IF($J86="E1",1,0)))))</x:f>
      </x:c>
      <x:c r="L86" s="8"/>
      <x:c r="M86" s="8"/>
      <x:c r="N86" s="8"/>
      <x:c r="O86" s="8"/>
      <x:c r="P86" s="8"/>
      <x:c r="Q86" t="str">
        <x:f>IF($A86="","",IF($D86="Baseline",1,IF($D86="Elevated",IF(OR('Profile'!$B$11="Elevated",'Profile'!$B$11="Critical"),1,0),IF($D86="Critical",IF('Profile'!$B$11="Critical",1,0),1))))</x:f>
      </x:c>
      <x:c r="R86" t="str">
        <x:f>IF($A86="","",IF($Q86=0,0,IF($H86="N/A",0,IF($H86="Met",IF(AND($K86&gt;=VALUE(RIGHT($G86,1)),$L86="Yes"),1,0),IF($H86="Partially met",IF(AND($K86&gt;=1,$L86="Yes"),0.5,0),0)))))</x:f>
      </x:c>
      <x:c r="S86" t="str">
        <x:f>IF($A86="","",IF($Q86=0,0,IF($H86="N/A",IF(AND($P86&lt;&gt;"",$O86&lt;&gt;"",IFERROR(VLOOKUP($O86,'Exceptions'!$A$5:$M$204,2,FALSE),"")="N/A determination",IFERROR(VLOOKUP($O86,'Exceptions'!$A$5:$M$204,13,FALSE),"")="Active",IFERROR(ISNUMBER(SEARCH($A86,IFERROR(VLOOKUP($O86,'Exceptions'!$A$5:$M$204,3,FALSE),""))),FALSE)),0,1),1)))</x:f>
      </x:c>
      <x:c r="T86" t="str">
        <x:f>IF($A86="","",IF($C86="","",IF($H86="N/A",IF(AND($P86&lt;&gt;"",$O86&lt;&gt;"",IFERROR(VLOOKUP($O86,'Exceptions'!$A$5:$M$204,2,FALSE),"")="N/A determination",IFERROR(VLOOKUP($O86,'Exceptions'!$A$5:$M$204,13,FALSE),"")="Active",IFERROR(ISNUMBER(SEARCH($A86,IFERROR(VLOOKUP($O86,'Exceptions'!$A$5:$M$204,3,FALSE),""))),FALSE)),"N/A","FAIL"),IF(OR($H86="Unknown",$H86="",$K86=0,$L86&lt;&gt;"Yes"),"UNKNOWN",IF($H86="Met",IF($K86&gt;=VALUE(RIGHT($G86,1)),"PASS","UNKNOWN"),IF(OR($H86="Partially met",$H86="Unmet"),"FAIL","UNKNOWN"))))))</x:f>
      </x:c>
      <x:c r="U86" t="str">
        <x:f>IF($A86="","",IF($S86=0,0,IF(AND($K86&gt;=1,$L86="Yes"),1,0)))</x:f>
      </x:c>
      <x:c r="V86" t="str">
        <x:f>IF($A86="","",IF(OR($S86=0,$H86="N/A",$L86&lt;&gt;"Yes"),0,$K86))</x:f>
      </x:c>
      <x:c r="AB86" t="str">
        <x:f>IF($A86="","",IF(AND($Q86=1,$H86="N/A",NOT(AND($P86&lt;&gt;"",$O86&lt;&gt;"",IFERROR(VLOOKUP($O86,'Exceptions'!$A$5:$M$204,2,FALSE),"")="N/A determination",IFERROR(VLOOKUP($O86,'Exceptions'!$A$5:$M$204,13,FALSE),"")="Active",IFERROR(ISNUMBER(SEARCH($A86,IFERROR(VLOOKUP($O86,'Exceptions'!$A$5:$M$204,3,FALSE),""))),FALSE)))),"MISSING OR INVALID N/A DECISION",IF(AND($Q86=1,OR($H86="Partially met",$H86="Unmet"),OR($K86&lt;1,$L86&lt;&gt;"Yes")),"KNOWN RATING NEEDS FRESH E1",IF(AND($Q86=1,$H86="Met",OR($K86&lt;VALUE(RIGHT($G86,1)),$L86&lt;&gt;"Yes")),"EVIDENCE BELOW MINIMUM",IF(AND($Q86=1,OR($H86="",$H86="Unknown")),"UNASSESSED",IF(AND($H86="N/A",AND($P86&lt;&gt;"",$O86&lt;&gt;"",IFERROR(VLOOKUP($O86,'Exceptions'!$A$5:$M$204,2,FALSE),"")="N/A determination",IFERROR(VLOOKUP($O86,'Exceptions'!$A$5:$M$204,13,FALSE),"")="Active",IFERROR(ISNUMBER(SEARCH($A86,IFERROR(VLOOKUP($O86,'Exceptions'!$A$5:$M$204,3,FALSE),""))),FALSE))),"N/A APPROVED",IF($O86&lt;&gt;"","EXCEPTION REVIEW","OK")))))))</x:f>
      </x:c>
    </x:row>
    <x:row r="87">
      <x:c r="H87" s="8"/>
      <x:c r="I87" t="str">
        <x:f>IF($A87="","",IF($H87="Met",1,IF($H87="Partially met",0.5,IF(OR($H87="Unmet",$H87="Unknown"),0,""))))</x:f>
      </x:c>
      <x:c r="J87" s="8"/>
      <x:c r="K87" t="str">
        <x:f>IF($A87="","",IF($J87="E4",4,IF($J87="E3",3,IF($J87="E2",2,IF($J87="E1",1,0)))))</x:f>
      </x:c>
      <x:c r="L87" s="8"/>
      <x:c r="M87" s="8"/>
      <x:c r="N87" s="8"/>
      <x:c r="O87" s="8"/>
      <x:c r="P87" s="8"/>
      <x:c r="Q87" t="str">
        <x:f>IF($A87="","",IF($D87="Baseline",1,IF($D87="Elevated",IF(OR('Profile'!$B$11="Elevated",'Profile'!$B$11="Critical"),1,0),IF($D87="Critical",IF('Profile'!$B$11="Critical",1,0),1))))</x:f>
      </x:c>
      <x:c r="R87" t="str">
        <x:f>IF($A87="","",IF($Q87=0,0,IF($H87="N/A",0,IF($H87="Met",IF(AND($K87&gt;=VALUE(RIGHT($G87,1)),$L87="Yes"),1,0),IF($H87="Partially met",IF(AND($K87&gt;=1,$L87="Yes"),0.5,0),0)))))</x:f>
      </x:c>
      <x:c r="S87" t="str">
        <x:f>IF($A87="","",IF($Q87=0,0,IF($H87="N/A",IF(AND($P87&lt;&gt;"",$O87&lt;&gt;"",IFERROR(VLOOKUP($O87,'Exceptions'!$A$5:$M$204,2,FALSE),"")="N/A determination",IFERROR(VLOOKUP($O87,'Exceptions'!$A$5:$M$204,13,FALSE),"")="Active",IFERROR(ISNUMBER(SEARCH($A87,IFERROR(VLOOKUP($O87,'Exceptions'!$A$5:$M$204,3,FALSE),""))),FALSE)),0,1),1)))</x:f>
      </x:c>
      <x:c r="T87" t="str">
        <x:f>IF($A87="","",IF($C87="","",IF($H87="N/A",IF(AND($P87&lt;&gt;"",$O87&lt;&gt;"",IFERROR(VLOOKUP($O87,'Exceptions'!$A$5:$M$204,2,FALSE),"")="N/A determination",IFERROR(VLOOKUP($O87,'Exceptions'!$A$5:$M$204,13,FALSE),"")="Active",IFERROR(ISNUMBER(SEARCH($A87,IFERROR(VLOOKUP($O87,'Exceptions'!$A$5:$M$204,3,FALSE),""))),FALSE)),"N/A","FAIL"),IF(OR($H87="Unknown",$H87="",$K87=0,$L87&lt;&gt;"Yes"),"UNKNOWN",IF($H87="Met",IF($K87&gt;=VALUE(RIGHT($G87,1)),"PASS","UNKNOWN"),IF(OR($H87="Partially met",$H87="Unmet"),"FAIL","UNKNOWN"))))))</x:f>
      </x:c>
      <x:c r="U87" t="str">
        <x:f>IF($A87="","",IF($S87=0,0,IF(AND($K87&gt;=1,$L87="Yes"),1,0)))</x:f>
      </x:c>
      <x:c r="V87" t="str">
        <x:f>IF($A87="","",IF(OR($S87=0,$H87="N/A",$L87&lt;&gt;"Yes"),0,$K87))</x:f>
      </x:c>
      <x:c r="AB87" t="str">
        <x:f>IF($A87="","",IF(AND($Q87=1,$H87="N/A",NOT(AND($P87&lt;&gt;"",$O87&lt;&gt;"",IFERROR(VLOOKUP($O87,'Exceptions'!$A$5:$M$204,2,FALSE),"")="N/A determination",IFERROR(VLOOKUP($O87,'Exceptions'!$A$5:$M$204,13,FALSE),"")="Active",IFERROR(ISNUMBER(SEARCH($A87,IFERROR(VLOOKUP($O87,'Exceptions'!$A$5:$M$204,3,FALSE),""))),FALSE)))),"MISSING OR INVALID N/A DECISION",IF(AND($Q87=1,OR($H87="Partially met",$H87="Unmet"),OR($K87&lt;1,$L87&lt;&gt;"Yes")),"KNOWN RATING NEEDS FRESH E1",IF(AND($Q87=1,$H87="Met",OR($K87&lt;VALUE(RIGHT($G87,1)),$L87&lt;&gt;"Yes")),"EVIDENCE BELOW MINIMUM",IF(AND($Q87=1,OR($H87="",$H87="Unknown")),"UNASSESSED",IF(AND($H87="N/A",AND($P87&lt;&gt;"",$O87&lt;&gt;"",IFERROR(VLOOKUP($O87,'Exceptions'!$A$5:$M$204,2,FALSE),"")="N/A determination",IFERROR(VLOOKUP($O87,'Exceptions'!$A$5:$M$204,13,FALSE),"")="Active",IFERROR(ISNUMBER(SEARCH($A87,IFERROR(VLOOKUP($O87,'Exceptions'!$A$5:$M$204,3,FALSE),""))),FALSE))),"N/A APPROVED",IF($O87&lt;&gt;"","EXCEPTION REVIEW","OK")))))))</x:f>
      </x:c>
    </x:row>
    <x:row r="88">
      <x:c r="H88" s="8"/>
      <x:c r="I88" t="str">
        <x:f>IF($A88="","",IF($H88="Met",1,IF($H88="Partially met",0.5,IF(OR($H88="Unmet",$H88="Unknown"),0,""))))</x:f>
      </x:c>
      <x:c r="J88" s="8"/>
      <x:c r="K88" t="str">
        <x:f>IF($A88="","",IF($J88="E4",4,IF($J88="E3",3,IF($J88="E2",2,IF($J88="E1",1,0)))))</x:f>
      </x:c>
      <x:c r="L88" s="8"/>
      <x:c r="M88" s="8"/>
      <x:c r="N88" s="8"/>
      <x:c r="O88" s="8"/>
      <x:c r="P88" s="8"/>
      <x:c r="Q88" t="str">
        <x:f>IF($A88="","",IF($D88="Baseline",1,IF($D88="Elevated",IF(OR('Profile'!$B$11="Elevated",'Profile'!$B$11="Critical"),1,0),IF($D88="Critical",IF('Profile'!$B$11="Critical",1,0),1))))</x:f>
      </x:c>
      <x:c r="R88" t="str">
        <x:f>IF($A88="","",IF($Q88=0,0,IF($H88="N/A",0,IF($H88="Met",IF(AND($K88&gt;=VALUE(RIGHT($G88,1)),$L88="Yes"),1,0),IF($H88="Partially met",IF(AND($K88&gt;=1,$L88="Yes"),0.5,0),0)))))</x:f>
      </x:c>
      <x:c r="S88" t="str">
        <x:f>IF($A88="","",IF($Q88=0,0,IF($H88="N/A",IF(AND($P88&lt;&gt;"",$O88&lt;&gt;"",IFERROR(VLOOKUP($O88,'Exceptions'!$A$5:$M$204,2,FALSE),"")="N/A determination",IFERROR(VLOOKUP($O88,'Exceptions'!$A$5:$M$204,13,FALSE),"")="Active",IFERROR(ISNUMBER(SEARCH($A88,IFERROR(VLOOKUP($O88,'Exceptions'!$A$5:$M$204,3,FALSE),""))),FALSE)),0,1),1)))</x:f>
      </x:c>
      <x:c r="T88" t="str">
        <x:f>IF($A88="","",IF($C88="","",IF($H88="N/A",IF(AND($P88&lt;&gt;"",$O88&lt;&gt;"",IFERROR(VLOOKUP($O88,'Exceptions'!$A$5:$M$204,2,FALSE),"")="N/A determination",IFERROR(VLOOKUP($O88,'Exceptions'!$A$5:$M$204,13,FALSE),"")="Active",IFERROR(ISNUMBER(SEARCH($A88,IFERROR(VLOOKUP($O88,'Exceptions'!$A$5:$M$204,3,FALSE),""))),FALSE)),"N/A","FAIL"),IF(OR($H88="Unknown",$H88="",$K88=0,$L88&lt;&gt;"Yes"),"UNKNOWN",IF($H88="Met",IF($K88&gt;=VALUE(RIGHT($G88,1)),"PASS","UNKNOWN"),IF(OR($H88="Partially met",$H88="Unmet"),"FAIL","UNKNOWN"))))))</x:f>
      </x:c>
      <x:c r="U88" t="str">
        <x:f>IF($A88="","",IF($S88=0,0,IF(AND($K88&gt;=1,$L88="Yes"),1,0)))</x:f>
      </x:c>
      <x:c r="V88" t="str">
        <x:f>IF($A88="","",IF(OR($S88=0,$H88="N/A",$L88&lt;&gt;"Yes"),0,$K88))</x:f>
      </x:c>
      <x:c r="AB88" t="str">
        <x:f>IF($A88="","",IF(AND($Q88=1,$H88="N/A",NOT(AND($P88&lt;&gt;"",$O88&lt;&gt;"",IFERROR(VLOOKUP($O88,'Exceptions'!$A$5:$M$204,2,FALSE),"")="N/A determination",IFERROR(VLOOKUP($O88,'Exceptions'!$A$5:$M$204,13,FALSE),"")="Active",IFERROR(ISNUMBER(SEARCH($A88,IFERROR(VLOOKUP($O88,'Exceptions'!$A$5:$M$204,3,FALSE),""))),FALSE)))),"MISSING OR INVALID N/A DECISION",IF(AND($Q88=1,OR($H88="Partially met",$H88="Unmet"),OR($K88&lt;1,$L88&lt;&gt;"Yes")),"KNOWN RATING NEEDS FRESH E1",IF(AND($Q88=1,$H88="Met",OR($K88&lt;VALUE(RIGHT($G88,1)),$L88&lt;&gt;"Yes")),"EVIDENCE BELOW MINIMUM",IF(AND($Q88=1,OR($H88="",$H88="Unknown")),"UNASSESSED",IF(AND($H88="N/A",AND($P88&lt;&gt;"",$O88&lt;&gt;"",IFERROR(VLOOKUP($O88,'Exceptions'!$A$5:$M$204,2,FALSE),"")="N/A determination",IFERROR(VLOOKUP($O88,'Exceptions'!$A$5:$M$204,13,FALSE),"")="Active",IFERROR(ISNUMBER(SEARCH($A88,IFERROR(VLOOKUP($O88,'Exceptions'!$A$5:$M$204,3,FALSE),""))),FALSE))),"N/A APPROVED",IF($O88&lt;&gt;"","EXCEPTION REVIEW","OK")))))))</x:f>
      </x:c>
    </x:row>
    <x:row r="89">
      <x:c r="H89" s="8"/>
      <x:c r="I89" t="str">
        <x:f>IF($A89="","",IF($H89="Met",1,IF($H89="Partially met",0.5,IF(OR($H89="Unmet",$H89="Unknown"),0,""))))</x:f>
      </x:c>
      <x:c r="J89" s="8"/>
      <x:c r="K89" t="str">
        <x:f>IF($A89="","",IF($J89="E4",4,IF($J89="E3",3,IF($J89="E2",2,IF($J89="E1",1,0)))))</x:f>
      </x:c>
      <x:c r="L89" s="8"/>
      <x:c r="M89" s="8"/>
      <x:c r="N89" s="8"/>
      <x:c r="O89" s="8"/>
      <x:c r="P89" s="8"/>
      <x:c r="Q89" t="str">
        <x:f>IF($A89="","",IF($D89="Baseline",1,IF($D89="Elevated",IF(OR('Profile'!$B$11="Elevated",'Profile'!$B$11="Critical"),1,0),IF($D89="Critical",IF('Profile'!$B$11="Critical",1,0),1))))</x:f>
      </x:c>
      <x:c r="R89" t="str">
        <x:f>IF($A89="","",IF($Q89=0,0,IF($H89="N/A",0,IF($H89="Met",IF(AND($K89&gt;=VALUE(RIGHT($G89,1)),$L89="Yes"),1,0),IF($H89="Partially met",IF(AND($K89&gt;=1,$L89="Yes"),0.5,0),0)))))</x:f>
      </x:c>
      <x:c r="S89" t="str">
        <x:f>IF($A89="","",IF($Q89=0,0,IF($H89="N/A",IF(AND($P89&lt;&gt;"",$O89&lt;&gt;"",IFERROR(VLOOKUP($O89,'Exceptions'!$A$5:$M$204,2,FALSE),"")="N/A determination",IFERROR(VLOOKUP($O89,'Exceptions'!$A$5:$M$204,13,FALSE),"")="Active",IFERROR(ISNUMBER(SEARCH($A89,IFERROR(VLOOKUP($O89,'Exceptions'!$A$5:$M$204,3,FALSE),""))),FALSE)),0,1),1)))</x:f>
      </x:c>
      <x:c r="T89" t="str">
        <x:f>IF($A89="","",IF($C89="","",IF($H89="N/A",IF(AND($P89&lt;&gt;"",$O89&lt;&gt;"",IFERROR(VLOOKUP($O89,'Exceptions'!$A$5:$M$204,2,FALSE),"")="N/A determination",IFERROR(VLOOKUP($O89,'Exceptions'!$A$5:$M$204,13,FALSE),"")="Active",IFERROR(ISNUMBER(SEARCH($A89,IFERROR(VLOOKUP($O89,'Exceptions'!$A$5:$M$204,3,FALSE),""))),FALSE)),"N/A","FAIL"),IF(OR($H89="Unknown",$H89="",$K89=0,$L89&lt;&gt;"Yes"),"UNKNOWN",IF($H89="Met",IF($K89&gt;=VALUE(RIGHT($G89,1)),"PASS","UNKNOWN"),IF(OR($H89="Partially met",$H89="Unmet"),"FAIL","UNKNOWN"))))))</x:f>
      </x:c>
      <x:c r="U89" t="str">
        <x:f>IF($A89="","",IF($S89=0,0,IF(AND($K89&gt;=1,$L89="Yes"),1,0)))</x:f>
      </x:c>
      <x:c r="V89" t="str">
        <x:f>IF($A89="","",IF(OR($S89=0,$H89="N/A",$L89&lt;&gt;"Yes"),0,$K89))</x:f>
      </x:c>
      <x:c r="AB89" t="str">
        <x:f>IF($A89="","",IF(AND($Q89=1,$H89="N/A",NOT(AND($P89&lt;&gt;"",$O89&lt;&gt;"",IFERROR(VLOOKUP($O89,'Exceptions'!$A$5:$M$204,2,FALSE),"")="N/A determination",IFERROR(VLOOKUP($O89,'Exceptions'!$A$5:$M$204,13,FALSE),"")="Active",IFERROR(ISNUMBER(SEARCH($A89,IFERROR(VLOOKUP($O89,'Exceptions'!$A$5:$M$204,3,FALSE),""))),FALSE)))),"MISSING OR INVALID N/A DECISION",IF(AND($Q89=1,OR($H89="Partially met",$H89="Unmet"),OR($K89&lt;1,$L89&lt;&gt;"Yes")),"KNOWN RATING NEEDS FRESH E1",IF(AND($Q89=1,$H89="Met",OR($K89&lt;VALUE(RIGHT($G89,1)),$L89&lt;&gt;"Yes")),"EVIDENCE BELOW MINIMUM",IF(AND($Q89=1,OR($H89="",$H89="Unknown")),"UNASSESSED",IF(AND($H89="N/A",AND($P89&lt;&gt;"",$O89&lt;&gt;"",IFERROR(VLOOKUP($O89,'Exceptions'!$A$5:$M$204,2,FALSE),"")="N/A determination",IFERROR(VLOOKUP($O89,'Exceptions'!$A$5:$M$204,13,FALSE),"")="Active",IFERROR(ISNUMBER(SEARCH($A89,IFERROR(VLOOKUP($O89,'Exceptions'!$A$5:$M$204,3,FALSE),""))),FALSE))),"N/A APPROVED",IF($O89&lt;&gt;"","EXCEPTION REVIEW","OK")))))))</x:f>
      </x:c>
    </x:row>
    <x:row r="90">
      <x:c r="H90" s="8"/>
      <x:c r="I90" t="str">
        <x:f>IF($A90="","",IF($H90="Met",1,IF($H90="Partially met",0.5,IF(OR($H90="Unmet",$H90="Unknown"),0,""))))</x:f>
      </x:c>
      <x:c r="J90" s="8"/>
      <x:c r="K90" t="str">
        <x:f>IF($A90="","",IF($J90="E4",4,IF($J90="E3",3,IF($J90="E2",2,IF($J90="E1",1,0)))))</x:f>
      </x:c>
      <x:c r="L90" s="8"/>
      <x:c r="M90" s="8"/>
      <x:c r="N90" s="8"/>
      <x:c r="O90" s="8"/>
      <x:c r="P90" s="8"/>
      <x:c r="Q90" t="str">
        <x:f>IF($A90="","",IF($D90="Baseline",1,IF($D90="Elevated",IF(OR('Profile'!$B$11="Elevated",'Profile'!$B$11="Critical"),1,0),IF($D90="Critical",IF('Profile'!$B$11="Critical",1,0),1))))</x:f>
      </x:c>
      <x:c r="R90" t="str">
        <x:f>IF($A90="","",IF($Q90=0,0,IF($H90="N/A",0,IF($H90="Met",IF(AND($K90&gt;=VALUE(RIGHT($G90,1)),$L90="Yes"),1,0),IF($H90="Partially met",IF(AND($K90&gt;=1,$L90="Yes"),0.5,0),0)))))</x:f>
      </x:c>
      <x:c r="S90" t="str">
        <x:f>IF($A90="","",IF($Q90=0,0,IF($H90="N/A",IF(AND($P90&lt;&gt;"",$O90&lt;&gt;"",IFERROR(VLOOKUP($O90,'Exceptions'!$A$5:$M$204,2,FALSE),"")="N/A determination",IFERROR(VLOOKUP($O90,'Exceptions'!$A$5:$M$204,13,FALSE),"")="Active",IFERROR(ISNUMBER(SEARCH($A90,IFERROR(VLOOKUP($O90,'Exceptions'!$A$5:$M$204,3,FALSE),""))),FALSE)),0,1),1)))</x:f>
      </x:c>
      <x:c r="T90" t="str">
        <x:f>IF($A90="","",IF($C90="","",IF($H90="N/A",IF(AND($P90&lt;&gt;"",$O90&lt;&gt;"",IFERROR(VLOOKUP($O90,'Exceptions'!$A$5:$M$204,2,FALSE),"")="N/A determination",IFERROR(VLOOKUP($O90,'Exceptions'!$A$5:$M$204,13,FALSE),"")="Active",IFERROR(ISNUMBER(SEARCH($A90,IFERROR(VLOOKUP($O90,'Exceptions'!$A$5:$M$204,3,FALSE),""))),FALSE)),"N/A","FAIL"),IF(OR($H90="Unknown",$H90="",$K90=0,$L90&lt;&gt;"Yes"),"UNKNOWN",IF($H90="Met",IF($K90&gt;=VALUE(RIGHT($G90,1)),"PASS","UNKNOWN"),IF(OR($H90="Partially met",$H90="Unmet"),"FAIL","UNKNOWN"))))))</x:f>
      </x:c>
      <x:c r="U90" t="str">
        <x:f>IF($A90="","",IF($S90=0,0,IF(AND($K90&gt;=1,$L90="Yes"),1,0)))</x:f>
      </x:c>
      <x:c r="V90" t="str">
        <x:f>IF($A90="","",IF(OR($S90=0,$H90="N/A",$L90&lt;&gt;"Yes"),0,$K90))</x:f>
      </x:c>
      <x:c r="AB90" t="str">
        <x:f>IF($A90="","",IF(AND($Q90=1,$H90="N/A",NOT(AND($P90&lt;&gt;"",$O90&lt;&gt;"",IFERROR(VLOOKUP($O90,'Exceptions'!$A$5:$M$204,2,FALSE),"")="N/A determination",IFERROR(VLOOKUP($O90,'Exceptions'!$A$5:$M$204,13,FALSE),"")="Active",IFERROR(ISNUMBER(SEARCH($A90,IFERROR(VLOOKUP($O90,'Exceptions'!$A$5:$M$204,3,FALSE),""))),FALSE)))),"MISSING OR INVALID N/A DECISION",IF(AND($Q90=1,OR($H90="Partially met",$H90="Unmet"),OR($K90&lt;1,$L90&lt;&gt;"Yes")),"KNOWN RATING NEEDS FRESH E1",IF(AND($Q90=1,$H90="Met",OR($K90&lt;VALUE(RIGHT($G90,1)),$L90&lt;&gt;"Yes")),"EVIDENCE BELOW MINIMUM",IF(AND($Q90=1,OR($H90="",$H90="Unknown")),"UNASSESSED",IF(AND($H90="N/A",AND($P90&lt;&gt;"",$O90&lt;&gt;"",IFERROR(VLOOKUP($O90,'Exceptions'!$A$5:$M$204,2,FALSE),"")="N/A determination",IFERROR(VLOOKUP($O90,'Exceptions'!$A$5:$M$204,13,FALSE),"")="Active",IFERROR(ISNUMBER(SEARCH($A90,IFERROR(VLOOKUP($O90,'Exceptions'!$A$5:$M$204,3,FALSE),""))),FALSE))),"N/A APPROVED",IF($O90&lt;&gt;"","EXCEPTION REVIEW","OK")))))))</x:f>
      </x:c>
    </x:row>
    <x:row r="91">
      <x:c r="H91" s="8"/>
      <x:c r="I91" t="str">
        <x:f>IF($A91="","",IF($H91="Met",1,IF($H91="Partially met",0.5,IF(OR($H91="Unmet",$H91="Unknown"),0,""))))</x:f>
      </x:c>
      <x:c r="J91" s="8"/>
      <x:c r="K91" t="str">
        <x:f>IF($A91="","",IF($J91="E4",4,IF($J91="E3",3,IF($J91="E2",2,IF($J91="E1",1,0)))))</x:f>
      </x:c>
      <x:c r="L91" s="8"/>
      <x:c r="M91" s="8"/>
      <x:c r="N91" s="8"/>
      <x:c r="O91" s="8"/>
      <x:c r="P91" s="8"/>
      <x:c r="Q91" t="str">
        <x:f>IF($A91="","",IF($D91="Baseline",1,IF($D91="Elevated",IF(OR('Profile'!$B$11="Elevated",'Profile'!$B$11="Critical"),1,0),IF($D91="Critical",IF('Profile'!$B$11="Critical",1,0),1))))</x:f>
      </x:c>
      <x:c r="R91" t="str">
        <x:f>IF($A91="","",IF($Q91=0,0,IF($H91="N/A",0,IF($H91="Met",IF(AND($K91&gt;=VALUE(RIGHT($G91,1)),$L91="Yes"),1,0),IF($H91="Partially met",IF(AND($K91&gt;=1,$L91="Yes"),0.5,0),0)))))</x:f>
      </x:c>
      <x:c r="S91" t="str">
        <x:f>IF($A91="","",IF($Q91=0,0,IF($H91="N/A",IF(AND($P91&lt;&gt;"",$O91&lt;&gt;"",IFERROR(VLOOKUP($O91,'Exceptions'!$A$5:$M$204,2,FALSE),"")="N/A determination",IFERROR(VLOOKUP($O91,'Exceptions'!$A$5:$M$204,13,FALSE),"")="Active",IFERROR(ISNUMBER(SEARCH($A91,IFERROR(VLOOKUP($O91,'Exceptions'!$A$5:$M$204,3,FALSE),""))),FALSE)),0,1),1)))</x:f>
      </x:c>
      <x:c r="T91" t="str">
        <x:f>IF($A91="","",IF($C91="","",IF($H91="N/A",IF(AND($P91&lt;&gt;"",$O91&lt;&gt;"",IFERROR(VLOOKUP($O91,'Exceptions'!$A$5:$M$204,2,FALSE),"")="N/A determination",IFERROR(VLOOKUP($O91,'Exceptions'!$A$5:$M$204,13,FALSE),"")="Active",IFERROR(ISNUMBER(SEARCH($A91,IFERROR(VLOOKUP($O91,'Exceptions'!$A$5:$M$204,3,FALSE),""))),FALSE)),"N/A","FAIL"),IF(OR($H91="Unknown",$H91="",$K91=0,$L91&lt;&gt;"Yes"),"UNKNOWN",IF($H91="Met",IF($K91&gt;=VALUE(RIGHT($G91,1)),"PASS","UNKNOWN"),IF(OR($H91="Partially met",$H91="Unmet"),"FAIL","UNKNOWN"))))))</x:f>
      </x:c>
      <x:c r="U91" t="str">
        <x:f>IF($A91="","",IF($S91=0,0,IF(AND($K91&gt;=1,$L91="Yes"),1,0)))</x:f>
      </x:c>
      <x:c r="V91" t="str">
        <x:f>IF($A91="","",IF(OR($S91=0,$H91="N/A",$L91&lt;&gt;"Yes"),0,$K91))</x:f>
      </x:c>
      <x:c r="AB91" t="str">
        <x:f>IF($A91="","",IF(AND($Q91=1,$H91="N/A",NOT(AND($P91&lt;&gt;"",$O91&lt;&gt;"",IFERROR(VLOOKUP($O91,'Exceptions'!$A$5:$M$204,2,FALSE),"")="N/A determination",IFERROR(VLOOKUP($O91,'Exceptions'!$A$5:$M$204,13,FALSE),"")="Active",IFERROR(ISNUMBER(SEARCH($A91,IFERROR(VLOOKUP($O91,'Exceptions'!$A$5:$M$204,3,FALSE),""))),FALSE)))),"MISSING OR INVALID N/A DECISION",IF(AND($Q91=1,OR($H91="Partially met",$H91="Unmet"),OR($K91&lt;1,$L91&lt;&gt;"Yes")),"KNOWN RATING NEEDS FRESH E1",IF(AND($Q91=1,$H91="Met",OR($K91&lt;VALUE(RIGHT($G91,1)),$L91&lt;&gt;"Yes")),"EVIDENCE BELOW MINIMUM",IF(AND($Q91=1,OR($H91="",$H91="Unknown")),"UNASSESSED",IF(AND($H91="N/A",AND($P91&lt;&gt;"",$O91&lt;&gt;"",IFERROR(VLOOKUP($O91,'Exceptions'!$A$5:$M$204,2,FALSE),"")="N/A determination",IFERROR(VLOOKUP($O91,'Exceptions'!$A$5:$M$204,13,FALSE),"")="Active",IFERROR(ISNUMBER(SEARCH($A91,IFERROR(VLOOKUP($O91,'Exceptions'!$A$5:$M$204,3,FALSE),""))),FALSE))),"N/A APPROVED",IF($O91&lt;&gt;"","EXCEPTION REVIEW","OK")))))))</x:f>
      </x:c>
    </x:row>
    <x:row r="92">
      <x:c r="H92" s="8"/>
      <x:c r="I92" t="str">
        <x:f>IF($A92="","",IF($H92="Met",1,IF($H92="Partially met",0.5,IF(OR($H92="Unmet",$H92="Unknown"),0,""))))</x:f>
      </x:c>
      <x:c r="J92" s="8"/>
      <x:c r="K92" t="str">
        <x:f>IF($A92="","",IF($J92="E4",4,IF($J92="E3",3,IF($J92="E2",2,IF($J92="E1",1,0)))))</x:f>
      </x:c>
      <x:c r="L92" s="8"/>
      <x:c r="M92" s="8"/>
      <x:c r="N92" s="8"/>
      <x:c r="O92" s="8"/>
      <x:c r="P92" s="8"/>
      <x:c r="Q92" t="str">
        <x:f>IF($A92="","",IF($D92="Baseline",1,IF($D92="Elevated",IF(OR('Profile'!$B$11="Elevated",'Profile'!$B$11="Critical"),1,0),IF($D92="Critical",IF('Profile'!$B$11="Critical",1,0),1))))</x:f>
      </x:c>
      <x:c r="R92" t="str">
        <x:f>IF($A92="","",IF($Q92=0,0,IF($H92="N/A",0,IF($H92="Met",IF(AND($K92&gt;=VALUE(RIGHT($G92,1)),$L92="Yes"),1,0),IF($H92="Partially met",IF(AND($K92&gt;=1,$L92="Yes"),0.5,0),0)))))</x:f>
      </x:c>
      <x:c r="S92" t="str">
        <x:f>IF($A92="","",IF($Q92=0,0,IF($H92="N/A",IF(AND($P92&lt;&gt;"",$O92&lt;&gt;"",IFERROR(VLOOKUP($O92,'Exceptions'!$A$5:$M$204,2,FALSE),"")="N/A determination",IFERROR(VLOOKUP($O92,'Exceptions'!$A$5:$M$204,13,FALSE),"")="Active",IFERROR(ISNUMBER(SEARCH($A92,IFERROR(VLOOKUP($O92,'Exceptions'!$A$5:$M$204,3,FALSE),""))),FALSE)),0,1),1)))</x:f>
      </x:c>
      <x:c r="T92" t="str">
        <x:f>IF($A92="","",IF($C92="","",IF($H92="N/A",IF(AND($P92&lt;&gt;"",$O92&lt;&gt;"",IFERROR(VLOOKUP($O92,'Exceptions'!$A$5:$M$204,2,FALSE),"")="N/A determination",IFERROR(VLOOKUP($O92,'Exceptions'!$A$5:$M$204,13,FALSE),"")="Active",IFERROR(ISNUMBER(SEARCH($A92,IFERROR(VLOOKUP($O92,'Exceptions'!$A$5:$M$204,3,FALSE),""))),FALSE)),"N/A","FAIL"),IF(OR($H92="Unknown",$H92="",$K92=0,$L92&lt;&gt;"Yes"),"UNKNOWN",IF($H92="Met",IF($K92&gt;=VALUE(RIGHT($G92,1)),"PASS","UNKNOWN"),IF(OR($H92="Partially met",$H92="Unmet"),"FAIL","UNKNOWN"))))))</x:f>
      </x:c>
      <x:c r="U92" t="str">
        <x:f>IF($A92="","",IF($S92=0,0,IF(AND($K92&gt;=1,$L92="Yes"),1,0)))</x:f>
      </x:c>
      <x:c r="V92" t="str">
        <x:f>IF($A92="","",IF(OR($S92=0,$H92="N/A",$L92&lt;&gt;"Yes"),0,$K92))</x:f>
      </x:c>
      <x:c r="AB92" t="str">
        <x:f>IF($A92="","",IF(AND($Q92=1,$H92="N/A",NOT(AND($P92&lt;&gt;"",$O92&lt;&gt;"",IFERROR(VLOOKUP($O92,'Exceptions'!$A$5:$M$204,2,FALSE),"")="N/A determination",IFERROR(VLOOKUP($O92,'Exceptions'!$A$5:$M$204,13,FALSE),"")="Active",IFERROR(ISNUMBER(SEARCH($A92,IFERROR(VLOOKUP($O92,'Exceptions'!$A$5:$M$204,3,FALSE),""))),FALSE)))),"MISSING OR INVALID N/A DECISION",IF(AND($Q92=1,OR($H92="Partially met",$H92="Unmet"),OR($K92&lt;1,$L92&lt;&gt;"Yes")),"KNOWN RATING NEEDS FRESH E1",IF(AND($Q92=1,$H92="Met",OR($K92&lt;VALUE(RIGHT($G92,1)),$L92&lt;&gt;"Yes")),"EVIDENCE BELOW MINIMUM",IF(AND($Q92=1,OR($H92="",$H92="Unknown")),"UNASSESSED",IF(AND($H92="N/A",AND($P92&lt;&gt;"",$O92&lt;&gt;"",IFERROR(VLOOKUP($O92,'Exceptions'!$A$5:$M$204,2,FALSE),"")="N/A determination",IFERROR(VLOOKUP($O92,'Exceptions'!$A$5:$M$204,13,FALSE),"")="Active",IFERROR(ISNUMBER(SEARCH($A92,IFERROR(VLOOKUP($O92,'Exceptions'!$A$5:$M$204,3,FALSE),""))),FALSE))),"N/A APPROVED",IF($O92&lt;&gt;"","EXCEPTION REVIEW","OK")))))))</x:f>
      </x:c>
    </x:row>
    <x:row r="93">
      <x:c r="H93" s="8"/>
      <x:c r="I93" t="str">
        <x:f>IF($A93="","",IF($H93="Met",1,IF($H93="Partially met",0.5,IF(OR($H93="Unmet",$H93="Unknown"),0,""))))</x:f>
      </x:c>
      <x:c r="J93" s="8"/>
      <x:c r="K93" t="str">
        <x:f>IF($A93="","",IF($J93="E4",4,IF($J93="E3",3,IF($J93="E2",2,IF($J93="E1",1,0)))))</x:f>
      </x:c>
      <x:c r="L93" s="8"/>
      <x:c r="M93" s="8"/>
      <x:c r="N93" s="8"/>
      <x:c r="O93" s="8"/>
      <x:c r="P93" s="8"/>
      <x:c r="Q93" t="str">
        <x:f>IF($A93="","",IF($D93="Baseline",1,IF($D93="Elevated",IF(OR('Profile'!$B$11="Elevated",'Profile'!$B$11="Critical"),1,0),IF($D93="Critical",IF('Profile'!$B$11="Critical",1,0),1))))</x:f>
      </x:c>
      <x:c r="R93" t="str">
        <x:f>IF($A93="","",IF($Q93=0,0,IF($H93="N/A",0,IF($H93="Met",IF(AND($K93&gt;=VALUE(RIGHT($G93,1)),$L93="Yes"),1,0),IF($H93="Partially met",IF(AND($K93&gt;=1,$L93="Yes"),0.5,0),0)))))</x:f>
      </x:c>
      <x:c r="S93" t="str">
        <x:f>IF($A93="","",IF($Q93=0,0,IF($H93="N/A",IF(AND($P93&lt;&gt;"",$O93&lt;&gt;"",IFERROR(VLOOKUP($O93,'Exceptions'!$A$5:$M$204,2,FALSE),"")="N/A determination",IFERROR(VLOOKUP($O93,'Exceptions'!$A$5:$M$204,13,FALSE),"")="Active",IFERROR(ISNUMBER(SEARCH($A93,IFERROR(VLOOKUP($O93,'Exceptions'!$A$5:$M$204,3,FALSE),""))),FALSE)),0,1),1)))</x:f>
      </x:c>
      <x:c r="T93" t="str">
        <x:f>IF($A93="","",IF($C93="","",IF($H93="N/A",IF(AND($P93&lt;&gt;"",$O93&lt;&gt;"",IFERROR(VLOOKUP($O93,'Exceptions'!$A$5:$M$204,2,FALSE),"")="N/A determination",IFERROR(VLOOKUP($O93,'Exceptions'!$A$5:$M$204,13,FALSE),"")="Active",IFERROR(ISNUMBER(SEARCH($A93,IFERROR(VLOOKUP($O93,'Exceptions'!$A$5:$M$204,3,FALSE),""))),FALSE)),"N/A","FAIL"),IF(OR($H93="Unknown",$H93="",$K93=0,$L93&lt;&gt;"Yes"),"UNKNOWN",IF($H93="Met",IF($K93&gt;=VALUE(RIGHT($G93,1)),"PASS","UNKNOWN"),IF(OR($H93="Partially met",$H93="Unmet"),"FAIL","UNKNOWN"))))))</x:f>
      </x:c>
      <x:c r="U93" t="str">
        <x:f>IF($A93="","",IF($S93=0,0,IF(AND($K93&gt;=1,$L93="Yes"),1,0)))</x:f>
      </x:c>
      <x:c r="V93" t="str">
        <x:f>IF($A93="","",IF(OR($S93=0,$H93="N/A",$L93&lt;&gt;"Yes"),0,$K93))</x:f>
      </x:c>
      <x:c r="AB93" t="str">
        <x:f>IF($A93="","",IF(AND($Q93=1,$H93="N/A",NOT(AND($P93&lt;&gt;"",$O93&lt;&gt;"",IFERROR(VLOOKUP($O93,'Exceptions'!$A$5:$M$204,2,FALSE),"")="N/A determination",IFERROR(VLOOKUP($O93,'Exceptions'!$A$5:$M$204,13,FALSE),"")="Active",IFERROR(ISNUMBER(SEARCH($A93,IFERROR(VLOOKUP($O93,'Exceptions'!$A$5:$M$204,3,FALSE),""))),FALSE)))),"MISSING OR INVALID N/A DECISION",IF(AND($Q93=1,OR($H93="Partially met",$H93="Unmet"),OR($K93&lt;1,$L93&lt;&gt;"Yes")),"KNOWN RATING NEEDS FRESH E1",IF(AND($Q93=1,$H93="Met",OR($K93&lt;VALUE(RIGHT($G93,1)),$L93&lt;&gt;"Yes")),"EVIDENCE BELOW MINIMUM",IF(AND($Q93=1,OR($H93="",$H93="Unknown")),"UNASSESSED",IF(AND($H93="N/A",AND($P93&lt;&gt;"",$O93&lt;&gt;"",IFERROR(VLOOKUP($O93,'Exceptions'!$A$5:$M$204,2,FALSE),"")="N/A determination",IFERROR(VLOOKUP($O93,'Exceptions'!$A$5:$M$204,13,FALSE),"")="Active",IFERROR(ISNUMBER(SEARCH($A93,IFERROR(VLOOKUP($O93,'Exceptions'!$A$5:$M$204,3,FALSE),""))),FALSE))),"N/A APPROVED",IF($O93&lt;&gt;"","EXCEPTION REVIEW","OK")))))))</x:f>
      </x:c>
    </x:row>
    <x:row r="94">
      <x:c r="H94" s="8"/>
      <x:c r="I94" t="str">
        <x:f>IF($A94="","",IF($H94="Met",1,IF($H94="Partially met",0.5,IF(OR($H94="Unmet",$H94="Unknown"),0,""))))</x:f>
      </x:c>
      <x:c r="J94" s="8"/>
      <x:c r="K94" t="str">
        <x:f>IF($A94="","",IF($J94="E4",4,IF($J94="E3",3,IF($J94="E2",2,IF($J94="E1",1,0)))))</x:f>
      </x:c>
      <x:c r="L94" s="8"/>
      <x:c r="M94" s="8"/>
      <x:c r="N94" s="8"/>
      <x:c r="O94" s="8"/>
      <x:c r="P94" s="8"/>
      <x:c r="Q94" t="str">
        <x:f>IF($A94="","",IF($D94="Baseline",1,IF($D94="Elevated",IF(OR('Profile'!$B$11="Elevated",'Profile'!$B$11="Critical"),1,0),IF($D94="Critical",IF('Profile'!$B$11="Critical",1,0),1))))</x:f>
      </x:c>
      <x:c r="R94" t="str">
        <x:f>IF($A94="","",IF($Q94=0,0,IF($H94="N/A",0,IF($H94="Met",IF(AND($K94&gt;=VALUE(RIGHT($G94,1)),$L94="Yes"),1,0),IF($H94="Partially met",IF(AND($K94&gt;=1,$L94="Yes"),0.5,0),0)))))</x:f>
      </x:c>
      <x:c r="S94" t="str">
        <x:f>IF($A94="","",IF($Q94=0,0,IF($H94="N/A",IF(AND($P94&lt;&gt;"",$O94&lt;&gt;"",IFERROR(VLOOKUP($O94,'Exceptions'!$A$5:$M$204,2,FALSE),"")="N/A determination",IFERROR(VLOOKUP($O94,'Exceptions'!$A$5:$M$204,13,FALSE),"")="Active",IFERROR(ISNUMBER(SEARCH($A94,IFERROR(VLOOKUP($O94,'Exceptions'!$A$5:$M$204,3,FALSE),""))),FALSE)),0,1),1)))</x:f>
      </x:c>
      <x:c r="T94" t="str">
        <x:f>IF($A94="","",IF($C94="","",IF($H94="N/A",IF(AND($P94&lt;&gt;"",$O94&lt;&gt;"",IFERROR(VLOOKUP($O94,'Exceptions'!$A$5:$M$204,2,FALSE),"")="N/A determination",IFERROR(VLOOKUP($O94,'Exceptions'!$A$5:$M$204,13,FALSE),"")="Active",IFERROR(ISNUMBER(SEARCH($A94,IFERROR(VLOOKUP($O94,'Exceptions'!$A$5:$M$204,3,FALSE),""))),FALSE)),"N/A","FAIL"),IF(OR($H94="Unknown",$H94="",$K94=0,$L94&lt;&gt;"Yes"),"UNKNOWN",IF($H94="Met",IF($K94&gt;=VALUE(RIGHT($G94,1)),"PASS","UNKNOWN"),IF(OR($H94="Partially met",$H94="Unmet"),"FAIL","UNKNOWN"))))))</x:f>
      </x:c>
      <x:c r="U94" t="str">
        <x:f>IF($A94="","",IF($S94=0,0,IF(AND($K94&gt;=1,$L94="Yes"),1,0)))</x:f>
      </x:c>
      <x:c r="V94" t="str">
        <x:f>IF($A94="","",IF(OR($S94=0,$H94="N/A",$L94&lt;&gt;"Yes"),0,$K94))</x:f>
      </x:c>
      <x:c r="AB94" t="str">
        <x:f>IF($A94="","",IF(AND($Q94=1,$H94="N/A",NOT(AND($P94&lt;&gt;"",$O94&lt;&gt;"",IFERROR(VLOOKUP($O94,'Exceptions'!$A$5:$M$204,2,FALSE),"")="N/A determination",IFERROR(VLOOKUP($O94,'Exceptions'!$A$5:$M$204,13,FALSE),"")="Active",IFERROR(ISNUMBER(SEARCH($A94,IFERROR(VLOOKUP($O94,'Exceptions'!$A$5:$M$204,3,FALSE),""))),FALSE)))),"MISSING OR INVALID N/A DECISION",IF(AND($Q94=1,OR($H94="Partially met",$H94="Unmet"),OR($K94&lt;1,$L94&lt;&gt;"Yes")),"KNOWN RATING NEEDS FRESH E1",IF(AND($Q94=1,$H94="Met",OR($K94&lt;VALUE(RIGHT($G94,1)),$L94&lt;&gt;"Yes")),"EVIDENCE BELOW MINIMUM",IF(AND($Q94=1,OR($H94="",$H94="Unknown")),"UNASSESSED",IF(AND($H94="N/A",AND($P94&lt;&gt;"",$O94&lt;&gt;"",IFERROR(VLOOKUP($O94,'Exceptions'!$A$5:$M$204,2,FALSE),"")="N/A determination",IFERROR(VLOOKUP($O94,'Exceptions'!$A$5:$M$204,13,FALSE),"")="Active",IFERROR(ISNUMBER(SEARCH($A94,IFERROR(VLOOKUP($O94,'Exceptions'!$A$5:$M$204,3,FALSE),""))),FALSE))),"N/A APPROVED",IF($O94&lt;&gt;"","EXCEPTION REVIEW","OK")))))))</x:f>
      </x:c>
    </x:row>
    <x:row r="95">
      <x:c r="H95" s="8"/>
      <x:c r="I95" t="str">
        <x:f>IF($A95="","",IF($H95="Met",1,IF($H95="Partially met",0.5,IF(OR($H95="Unmet",$H95="Unknown"),0,""))))</x:f>
      </x:c>
      <x:c r="J95" s="8"/>
      <x:c r="K95" t="str">
        <x:f>IF($A95="","",IF($J95="E4",4,IF($J95="E3",3,IF($J95="E2",2,IF($J95="E1",1,0)))))</x:f>
      </x:c>
      <x:c r="L95" s="8"/>
      <x:c r="M95" s="8"/>
      <x:c r="N95" s="8"/>
      <x:c r="O95" s="8"/>
      <x:c r="P95" s="8"/>
      <x:c r="Q95" t="str">
        <x:f>IF($A95="","",IF($D95="Baseline",1,IF($D95="Elevated",IF(OR('Profile'!$B$11="Elevated",'Profile'!$B$11="Critical"),1,0),IF($D95="Critical",IF('Profile'!$B$11="Critical",1,0),1))))</x:f>
      </x:c>
      <x:c r="R95" t="str">
        <x:f>IF($A95="","",IF($Q95=0,0,IF($H95="N/A",0,IF($H95="Met",IF(AND($K95&gt;=VALUE(RIGHT($G95,1)),$L95="Yes"),1,0),IF($H95="Partially met",IF(AND($K95&gt;=1,$L95="Yes"),0.5,0),0)))))</x:f>
      </x:c>
      <x:c r="S95" t="str">
        <x:f>IF($A95="","",IF($Q95=0,0,IF($H95="N/A",IF(AND($P95&lt;&gt;"",$O95&lt;&gt;"",IFERROR(VLOOKUP($O95,'Exceptions'!$A$5:$M$204,2,FALSE),"")="N/A determination",IFERROR(VLOOKUP($O95,'Exceptions'!$A$5:$M$204,13,FALSE),"")="Active",IFERROR(ISNUMBER(SEARCH($A95,IFERROR(VLOOKUP($O95,'Exceptions'!$A$5:$M$204,3,FALSE),""))),FALSE)),0,1),1)))</x:f>
      </x:c>
      <x:c r="T95" t="str">
        <x:f>IF($A95="","",IF($C95="","",IF($H95="N/A",IF(AND($P95&lt;&gt;"",$O95&lt;&gt;"",IFERROR(VLOOKUP($O95,'Exceptions'!$A$5:$M$204,2,FALSE),"")="N/A determination",IFERROR(VLOOKUP($O95,'Exceptions'!$A$5:$M$204,13,FALSE),"")="Active",IFERROR(ISNUMBER(SEARCH($A95,IFERROR(VLOOKUP($O95,'Exceptions'!$A$5:$M$204,3,FALSE),""))),FALSE)),"N/A","FAIL"),IF(OR($H95="Unknown",$H95="",$K95=0,$L95&lt;&gt;"Yes"),"UNKNOWN",IF($H95="Met",IF($K95&gt;=VALUE(RIGHT($G95,1)),"PASS","UNKNOWN"),IF(OR($H95="Partially met",$H95="Unmet"),"FAIL","UNKNOWN"))))))</x:f>
      </x:c>
      <x:c r="U95" t="str">
        <x:f>IF($A95="","",IF($S95=0,0,IF(AND($K95&gt;=1,$L95="Yes"),1,0)))</x:f>
      </x:c>
      <x:c r="V95" t="str">
        <x:f>IF($A95="","",IF(OR($S95=0,$H95="N/A",$L95&lt;&gt;"Yes"),0,$K95))</x:f>
      </x:c>
      <x:c r="AB95" t="str">
        <x:f>IF($A95="","",IF(AND($Q95=1,$H95="N/A",NOT(AND($P95&lt;&gt;"",$O95&lt;&gt;"",IFERROR(VLOOKUP($O95,'Exceptions'!$A$5:$M$204,2,FALSE),"")="N/A determination",IFERROR(VLOOKUP($O95,'Exceptions'!$A$5:$M$204,13,FALSE),"")="Active",IFERROR(ISNUMBER(SEARCH($A95,IFERROR(VLOOKUP($O95,'Exceptions'!$A$5:$M$204,3,FALSE),""))),FALSE)))),"MISSING OR INVALID N/A DECISION",IF(AND($Q95=1,OR($H95="Partially met",$H95="Unmet"),OR($K95&lt;1,$L95&lt;&gt;"Yes")),"KNOWN RATING NEEDS FRESH E1",IF(AND($Q95=1,$H95="Met",OR($K95&lt;VALUE(RIGHT($G95,1)),$L95&lt;&gt;"Yes")),"EVIDENCE BELOW MINIMUM",IF(AND($Q95=1,OR($H95="",$H95="Unknown")),"UNASSESSED",IF(AND($H95="N/A",AND($P95&lt;&gt;"",$O95&lt;&gt;"",IFERROR(VLOOKUP($O95,'Exceptions'!$A$5:$M$204,2,FALSE),"")="N/A determination",IFERROR(VLOOKUP($O95,'Exceptions'!$A$5:$M$204,13,FALSE),"")="Active",IFERROR(ISNUMBER(SEARCH($A95,IFERROR(VLOOKUP($O95,'Exceptions'!$A$5:$M$204,3,FALSE),""))),FALSE))),"N/A APPROVED",IF($O95&lt;&gt;"","EXCEPTION REVIEW","OK")))))))</x:f>
      </x:c>
    </x:row>
    <x:row r="96">
      <x:c r="H96" s="8"/>
      <x:c r="I96" t="str">
        <x:f>IF($A96="","",IF($H96="Met",1,IF($H96="Partially met",0.5,IF(OR($H96="Unmet",$H96="Unknown"),0,""))))</x:f>
      </x:c>
      <x:c r="J96" s="8"/>
      <x:c r="K96" t="str">
        <x:f>IF($A96="","",IF($J96="E4",4,IF($J96="E3",3,IF($J96="E2",2,IF($J96="E1",1,0)))))</x:f>
      </x:c>
      <x:c r="L96" s="8"/>
      <x:c r="M96" s="8"/>
      <x:c r="N96" s="8"/>
      <x:c r="O96" s="8"/>
      <x:c r="P96" s="8"/>
      <x:c r="Q96" t="str">
        <x:f>IF($A96="","",IF($D96="Baseline",1,IF($D96="Elevated",IF(OR('Profile'!$B$11="Elevated",'Profile'!$B$11="Critical"),1,0),IF($D96="Critical",IF('Profile'!$B$11="Critical",1,0),1))))</x:f>
      </x:c>
      <x:c r="R96" t="str">
        <x:f>IF($A96="","",IF($Q96=0,0,IF($H96="N/A",0,IF($H96="Met",IF(AND($K96&gt;=VALUE(RIGHT($G96,1)),$L96="Yes"),1,0),IF($H96="Partially met",IF(AND($K96&gt;=1,$L96="Yes"),0.5,0),0)))))</x:f>
      </x:c>
      <x:c r="S96" t="str">
        <x:f>IF($A96="","",IF($Q96=0,0,IF($H96="N/A",IF(AND($P96&lt;&gt;"",$O96&lt;&gt;"",IFERROR(VLOOKUP($O96,'Exceptions'!$A$5:$M$204,2,FALSE),"")="N/A determination",IFERROR(VLOOKUP($O96,'Exceptions'!$A$5:$M$204,13,FALSE),"")="Active",IFERROR(ISNUMBER(SEARCH($A96,IFERROR(VLOOKUP($O96,'Exceptions'!$A$5:$M$204,3,FALSE),""))),FALSE)),0,1),1)))</x:f>
      </x:c>
      <x:c r="T96" t="str">
        <x:f>IF($A96="","",IF($C96="","",IF($H96="N/A",IF(AND($P96&lt;&gt;"",$O96&lt;&gt;"",IFERROR(VLOOKUP($O96,'Exceptions'!$A$5:$M$204,2,FALSE),"")="N/A determination",IFERROR(VLOOKUP($O96,'Exceptions'!$A$5:$M$204,13,FALSE),"")="Active",IFERROR(ISNUMBER(SEARCH($A96,IFERROR(VLOOKUP($O96,'Exceptions'!$A$5:$M$204,3,FALSE),""))),FALSE)),"N/A","FAIL"),IF(OR($H96="Unknown",$H96="",$K96=0,$L96&lt;&gt;"Yes"),"UNKNOWN",IF($H96="Met",IF($K96&gt;=VALUE(RIGHT($G96,1)),"PASS","UNKNOWN"),IF(OR($H96="Partially met",$H96="Unmet"),"FAIL","UNKNOWN"))))))</x:f>
      </x:c>
      <x:c r="U96" t="str">
        <x:f>IF($A96="","",IF($S96=0,0,IF(AND($K96&gt;=1,$L96="Yes"),1,0)))</x:f>
      </x:c>
      <x:c r="V96" t="str">
        <x:f>IF($A96="","",IF(OR($S96=0,$H96="N/A",$L96&lt;&gt;"Yes"),0,$K96))</x:f>
      </x:c>
      <x:c r="AB96" t="str">
        <x:f>IF($A96="","",IF(AND($Q96=1,$H96="N/A",NOT(AND($P96&lt;&gt;"",$O96&lt;&gt;"",IFERROR(VLOOKUP($O96,'Exceptions'!$A$5:$M$204,2,FALSE),"")="N/A determination",IFERROR(VLOOKUP($O96,'Exceptions'!$A$5:$M$204,13,FALSE),"")="Active",IFERROR(ISNUMBER(SEARCH($A96,IFERROR(VLOOKUP($O96,'Exceptions'!$A$5:$M$204,3,FALSE),""))),FALSE)))),"MISSING OR INVALID N/A DECISION",IF(AND($Q96=1,OR($H96="Partially met",$H96="Unmet"),OR($K96&lt;1,$L96&lt;&gt;"Yes")),"KNOWN RATING NEEDS FRESH E1",IF(AND($Q96=1,$H96="Met",OR($K96&lt;VALUE(RIGHT($G96,1)),$L96&lt;&gt;"Yes")),"EVIDENCE BELOW MINIMUM",IF(AND($Q96=1,OR($H96="",$H96="Unknown")),"UNASSESSED",IF(AND($H96="N/A",AND($P96&lt;&gt;"",$O96&lt;&gt;"",IFERROR(VLOOKUP($O96,'Exceptions'!$A$5:$M$204,2,FALSE),"")="N/A determination",IFERROR(VLOOKUP($O96,'Exceptions'!$A$5:$M$204,13,FALSE),"")="Active",IFERROR(ISNUMBER(SEARCH($A96,IFERROR(VLOOKUP($O96,'Exceptions'!$A$5:$M$204,3,FALSE),""))),FALSE))),"N/A APPROVED",IF($O96&lt;&gt;"","EXCEPTION REVIEW","OK")))))))</x:f>
      </x:c>
    </x:row>
    <x:row r="97">
      <x:c r="H97" s="8"/>
      <x:c r="I97" t="str">
        <x:f>IF($A97="","",IF($H97="Met",1,IF($H97="Partially met",0.5,IF(OR($H97="Unmet",$H97="Unknown"),0,""))))</x:f>
      </x:c>
      <x:c r="J97" s="8"/>
      <x:c r="K97" t="str">
        <x:f>IF($A97="","",IF($J97="E4",4,IF($J97="E3",3,IF($J97="E2",2,IF($J97="E1",1,0)))))</x:f>
      </x:c>
      <x:c r="L97" s="8"/>
      <x:c r="M97" s="8"/>
      <x:c r="N97" s="8"/>
      <x:c r="O97" s="8"/>
      <x:c r="P97" s="8"/>
      <x:c r="Q97" t="str">
        <x:f>IF($A97="","",IF($D97="Baseline",1,IF($D97="Elevated",IF(OR('Profile'!$B$11="Elevated",'Profile'!$B$11="Critical"),1,0),IF($D97="Critical",IF('Profile'!$B$11="Critical",1,0),1))))</x:f>
      </x:c>
      <x:c r="R97" t="str">
        <x:f>IF($A97="","",IF($Q97=0,0,IF($H97="N/A",0,IF($H97="Met",IF(AND($K97&gt;=VALUE(RIGHT($G97,1)),$L97="Yes"),1,0),IF($H97="Partially met",IF(AND($K97&gt;=1,$L97="Yes"),0.5,0),0)))))</x:f>
      </x:c>
      <x:c r="S97" t="str">
        <x:f>IF($A97="","",IF($Q97=0,0,IF($H97="N/A",IF(AND($P97&lt;&gt;"",$O97&lt;&gt;"",IFERROR(VLOOKUP($O97,'Exceptions'!$A$5:$M$204,2,FALSE),"")="N/A determination",IFERROR(VLOOKUP($O97,'Exceptions'!$A$5:$M$204,13,FALSE),"")="Active",IFERROR(ISNUMBER(SEARCH($A97,IFERROR(VLOOKUP($O97,'Exceptions'!$A$5:$M$204,3,FALSE),""))),FALSE)),0,1),1)))</x:f>
      </x:c>
      <x:c r="T97" t="str">
        <x:f>IF($A97="","",IF($C97="","",IF($H97="N/A",IF(AND($P97&lt;&gt;"",$O97&lt;&gt;"",IFERROR(VLOOKUP($O97,'Exceptions'!$A$5:$M$204,2,FALSE),"")="N/A determination",IFERROR(VLOOKUP($O97,'Exceptions'!$A$5:$M$204,13,FALSE),"")="Active",IFERROR(ISNUMBER(SEARCH($A97,IFERROR(VLOOKUP($O97,'Exceptions'!$A$5:$M$204,3,FALSE),""))),FALSE)),"N/A","FAIL"),IF(OR($H97="Unknown",$H97="",$K97=0,$L97&lt;&gt;"Yes"),"UNKNOWN",IF($H97="Met",IF($K97&gt;=VALUE(RIGHT($G97,1)),"PASS","UNKNOWN"),IF(OR($H97="Partially met",$H97="Unmet"),"FAIL","UNKNOWN"))))))</x:f>
      </x:c>
      <x:c r="U97" t="str">
        <x:f>IF($A97="","",IF($S97=0,0,IF(AND($K97&gt;=1,$L97="Yes"),1,0)))</x:f>
      </x:c>
      <x:c r="V97" t="str">
        <x:f>IF($A97="","",IF(OR($S97=0,$H97="N/A",$L97&lt;&gt;"Yes"),0,$K97))</x:f>
      </x:c>
      <x:c r="AB97" t="str">
        <x:f>IF($A97="","",IF(AND($Q97=1,$H97="N/A",NOT(AND($P97&lt;&gt;"",$O97&lt;&gt;"",IFERROR(VLOOKUP($O97,'Exceptions'!$A$5:$M$204,2,FALSE),"")="N/A determination",IFERROR(VLOOKUP($O97,'Exceptions'!$A$5:$M$204,13,FALSE),"")="Active",IFERROR(ISNUMBER(SEARCH($A97,IFERROR(VLOOKUP($O97,'Exceptions'!$A$5:$M$204,3,FALSE),""))),FALSE)))),"MISSING OR INVALID N/A DECISION",IF(AND($Q97=1,OR($H97="Partially met",$H97="Unmet"),OR($K97&lt;1,$L97&lt;&gt;"Yes")),"KNOWN RATING NEEDS FRESH E1",IF(AND($Q97=1,$H97="Met",OR($K97&lt;VALUE(RIGHT($G97,1)),$L97&lt;&gt;"Yes")),"EVIDENCE BELOW MINIMUM",IF(AND($Q97=1,OR($H97="",$H97="Unknown")),"UNASSESSED",IF(AND($H97="N/A",AND($P97&lt;&gt;"",$O97&lt;&gt;"",IFERROR(VLOOKUP($O97,'Exceptions'!$A$5:$M$204,2,FALSE),"")="N/A determination",IFERROR(VLOOKUP($O97,'Exceptions'!$A$5:$M$204,13,FALSE),"")="Active",IFERROR(ISNUMBER(SEARCH($A97,IFERROR(VLOOKUP($O97,'Exceptions'!$A$5:$M$204,3,FALSE),""))),FALSE))),"N/A APPROVED",IF($O97&lt;&gt;"","EXCEPTION REVIEW","OK")))))))</x:f>
      </x:c>
    </x:row>
    <x:row r="98">
      <x:c r="H98" s="8"/>
      <x:c r="I98" t="str">
        <x:f>IF($A98="","",IF($H98="Met",1,IF($H98="Partially met",0.5,IF(OR($H98="Unmet",$H98="Unknown"),0,""))))</x:f>
      </x:c>
      <x:c r="J98" s="8"/>
      <x:c r="K98" t="str">
        <x:f>IF($A98="","",IF($J98="E4",4,IF($J98="E3",3,IF($J98="E2",2,IF($J98="E1",1,0)))))</x:f>
      </x:c>
      <x:c r="L98" s="8"/>
      <x:c r="M98" s="8"/>
      <x:c r="N98" s="8"/>
      <x:c r="O98" s="8"/>
      <x:c r="P98" s="8"/>
      <x:c r="Q98" t="str">
        <x:f>IF($A98="","",IF($D98="Baseline",1,IF($D98="Elevated",IF(OR('Profile'!$B$11="Elevated",'Profile'!$B$11="Critical"),1,0),IF($D98="Critical",IF('Profile'!$B$11="Critical",1,0),1))))</x:f>
      </x:c>
      <x:c r="R98" t="str">
        <x:f>IF($A98="","",IF($Q98=0,0,IF($H98="N/A",0,IF($H98="Met",IF(AND($K98&gt;=VALUE(RIGHT($G98,1)),$L98="Yes"),1,0),IF($H98="Partially met",IF(AND($K98&gt;=1,$L98="Yes"),0.5,0),0)))))</x:f>
      </x:c>
      <x:c r="S98" t="str">
        <x:f>IF($A98="","",IF($Q98=0,0,IF($H98="N/A",IF(AND($P98&lt;&gt;"",$O98&lt;&gt;"",IFERROR(VLOOKUP($O98,'Exceptions'!$A$5:$M$204,2,FALSE),"")="N/A determination",IFERROR(VLOOKUP($O98,'Exceptions'!$A$5:$M$204,13,FALSE),"")="Active",IFERROR(ISNUMBER(SEARCH($A98,IFERROR(VLOOKUP($O98,'Exceptions'!$A$5:$M$204,3,FALSE),""))),FALSE)),0,1),1)))</x:f>
      </x:c>
      <x:c r="T98" t="str">
        <x:f>IF($A98="","",IF($C98="","",IF($H98="N/A",IF(AND($P98&lt;&gt;"",$O98&lt;&gt;"",IFERROR(VLOOKUP($O98,'Exceptions'!$A$5:$M$204,2,FALSE),"")="N/A determination",IFERROR(VLOOKUP($O98,'Exceptions'!$A$5:$M$204,13,FALSE),"")="Active",IFERROR(ISNUMBER(SEARCH($A98,IFERROR(VLOOKUP($O98,'Exceptions'!$A$5:$M$204,3,FALSE),""))),FALSE)),"N/A","FAIL"),IF(OR($H98="Unknown",$H98="",$K98=0,$L98&lt;&gt;"Yes"),"UNKNOWN",IF($H98="Met",IF($K98&gt;=VALUE(RIGHT($G98,1)),"PASS","UNKNOWN"),IF(OR($H98="Partially met",$H98="Unmet"),"FAIL","UNKNOWN"))))))</x:f>
      </x:c>
      <x:c r="U98" t="str">
        <x:f>IF($A98="","",IF($S98=0,0,IF(AND($K98&gt;=1,$L98="Yes"),1,0)))</x:f>
      </x:c>
      <x:c r="V98" t="str">
        <x:f>IF($A98="","",IF(OR($S98=0,$H98="N/A",$L98&lt;&gt;"Yes"),0,$K98))</x:f>
      </x:c>
      <x:c r="AB98" t="str">
        <x:f>IF($A98="","",IF(AND($Q98=1,$H98="N/A",NOT(AND($P98&lt;&gt;"",$O98&lt;&gt;"",IFERROR(VLOOKUP($O98,'Exceptions'!$A$5:$M$204,2,FALSE),"")="N/A determination",IFERROR(VLOOKUP($O98,'Exceptions'!$A$5:$M$204,13,FALSE),"")="Active",IFERROR(ISNUMBER(SEARCH($A98,IFERROR(VLOOKUP($O98,'Exceptions'!$A$5:$M$204,3,FALSE),""))),FALSE)))),"MISSING OR INVALID N/A DECISION",IF(AND($Q98=1,OR($H98="Partially met",$H98="Unmet"),OR($K98&lt;1,$L98&lt;&gt;"Yes")),"KNOWN RATING NEEDS FRESH E1",IF(AND($Q98=1,$H98="Met",OR($K98&lt;VALUE(RIGHT($G98,1)),$L98&lt;&gt;"Yes")),"EVIDENCE BELOW MINIMUM",IF(AND($Q98=1,OR($H98="",$H98="Unknown")),"UNASSESSED",IF(AND($H98="N/A",AND($P98&lt;&gt;"",$O98&lt;&gt;"",IFERROR(VLOOKUP($O98,'Exceptions'!$A$5:$M$204,2,FALSE),"")="N/A determination",IFERROR(VLOOKUP($O98,'Exceptions'!$A$5:$M$204,13,FALSE),"")="Active",IFERROR(ISNUMBER(SEARCH($A98,IFERROR(VLOOKUP($O98,'Exceptions'!$A$5:$M$204,3,FALSE),""))),FALSE))),"N/A APPROVED",IF($O98&lt;&gt;"","EXCEPTION REVIEW","OK")))))))</x:f>
      </x:c>
    </x:row>
    <x:row r="99">
      <x:c r="H99" s="8"/>
      <x:c r="I99" t="str">
        <x:f>IF($A99="","",IF($H99="Met",1,IF($H99="Partially met",0.5,IF(OR($H99="Unmet",$H99="Unknown"),0,""))))</x:f>
      </x:c>
      <x:c r="J99" s="8"/>
      <x:c r="K99" t="str">
        <x:f>IF($A99="","",IF($J99="E4",4,IF($J99="E3",3,IF($J99="E2",2,IF($J99="E1",1,0)))))</x:f>
      </x:c>
      <x:c r="L99" s="8"/>
      <x:c r="M99" s="8"/>
      <x:c r="N99" s="8"/>
      <x:c r="O99" s="8"/>
      <x:c r="P99" s="8"/>
      <x:c r="Q99" t="str">
        <x:f>IF($A99="","",IF($D99="Baseline",1,IF($D99="Elevated",IF(OR('Profile'!$B$11="Elevated",'Profile'!$B$11="Critical"),1,0),IF($D99="Critical",IF('Profile'!$B$11="Critical",1,0),1))))</x:f>
      </x:c>
      <x:c r="R99" t="str">
        <x:f>IF($A99="","",IF($Q99=0,0,IF($H99="N/A",0,IF($H99="Met",IF(AND($K99&gt;=VALUE(RIGHT($G99,1)),$L99="Yes"),1,0),IF($H99="Partially met",IF(AND($K99&gt;=1,$L99="Yes"),0.5,0),0)))))</x:f>
      </x:c>
      <x:c r="S99" t="str">
        <x:f>IF($A99="","",IF($Q99=0,0,IF($H99="N/A",IF(AND($P99&lt;&gt;"",$O99&lt;&gt;"",IFERROR(VLOOKUP($O99,'Exceptions'!$A$5:$M$204,2,FALSE),"")="N/A determination",IFERROR(VLOOKUP($O99,'Exceptions'!$A$5:$M$204,13,FALSE),"")="Active",IFERROR(ISNUMBER(SEARCH($A99,IFERROR(VLOOKUP($O99,'Exceptions'!$A$5:$M$204,3,FALSE),""))),FALSE)),0,1),1)))</x:f>
      </x:c>
      <x:c r="T99" t="str">
        <x:f>IF($A99="","",IF($C99="","",IF($H99="N/A",IF(AND($P99&lt;&gt;"",$O99&lt;&gt;"",IFERROR(VLOOKUP($O99,'Exceptions'!$A$5:$M$204,2,FALSE),"")="N/A determination",IFERROR(VLOOKUP($O99,'Exceptions'!$A$5:$M$204,13,FALSE),"")="Active",IFERROR(ISNUMBER(SEARCH($A99,IFERROR(VLOOKUP($O99,'Exceptions'!$A$5:$M$204,3,FALSE),""))),FALSE)),"N/A","FAIL"),IF(OR($H99="Unknown",$H99="",$K99=0,$L99&lt;&gt;"Yes"),"UNKNOWN",IF($H99="Met",IF($K99&gt;=VALUE(RIGHT($G99,1)),"PASS","UNKNOWN"),IF(OR($H99="Partially met",$H99="Unmet"),"FAIL","UNKNOWN"))))))</x:f>
      </x:c>
      <x:c r="U99" t="str">
        <x:f>IF($A99="","",IF($S99=0,0,IF(AND($K99&gt;=1,$L99="Yes"),1,0)))</x:f>
      </x:c>
      <x:c r="V99" t="str">
        <x:f>IF($A99="","",IF(OR($S99=0,$H99="N/A",$L99&lt;&gt;"Yes"),0,$K99))</x:f>
      </x:c>
      <x:c r="AB99" t="str">
        <x:f>IF($A99="","",IF(AND($Q99=1,$H99="N/A",NOT(AND($P99&lt;&gt;"",$O99&lt;&gt;"",IFERROR(VLOOKUP($O99,'Exceptions'!$A$5:$M$204,2,FALSE),"")="N/A determination",IFERROR(VLOOKUP($O99,'Exceptions'!$A$5:$M$204,13,FALSE),"")="Active",IFERROR(ISNUMBER(SEARCH($A99,IFERROR(VLOOKUP($O99,'Exceptions'!$A$5:$M$204,3,FALSE),""))),FALSE)))),"MISSING OR INVALID N/A DECISION",IF(AND($Q99=1,OR($H99="Partially met",$H99="Unmet"),OR($K99&lt;1,$L99&lt;&gt;"Yes")),"KNOWN RATING NEEDS FRESH E1",IF(AND($Q99=1,$H99="Met",OR($K99&lt;VALUE(RIGHT($G99,1)),$L99&lt;&gt;"Yes")),"EVIDENCE BELOW MINIMUM",IF(AND($Q99=1,OR($H99="",$H99="Unknown")),"UNASSESSED",IF(AND($H99="N/A",AND($P99&lt;&gt;"",$O99&lt;&gt;"",IFERROR(VLOOKUP($O99,'Exceptions'!$A$5:$M$204,2,FALSE),"")="N/A determination",IFERROR(VLOOKUP($O99,'Exceptions'!$A$5:$M$204,13,FALSE),"")="Active",IFERROR(ISNUMBER(SEARCH($A99,IFERROR(VLOOKUP($O99,'Exceptions'!$A$5:$M$204,3,FALSE),""))),FALSE))),"N/A APPROVED",IF($O99&lt;&gt;"","EXCEPTION REVIEW","OK")))))))</x:f>
      </x:c>
    </x:row>
    <x:row r="100">
      <x:c r="H100" s="8"/>
      <x:c r="I100" t="str">
        <x:f>IF($A100="","",IF($H100="Met",1,IF($H100="Partially met",0.5,IF(OR($H100="Unmet",$H100="Unknown"),0,""))))</x:f>
      </x:c>
      <x:c r="J100" s="8"/>
      <x:c r="K100" t="str">
        <x:f>IF($A100="","",IF($J100="E4",4,IF($J100="E3",3,IF($J100="E2",2,IF($J100="E1",1,0)))))</x:f>
      </x:c>
      <x:c r="L100" s="8"/>
      <x:c r="M100" s="8"/>
      <x:c r="N100" s="8"/>
      <x:c r="O100" s="8"/>
      <x:c r="P100" s="8"/>
      <x:c r="Q100" t="str">
        <x:f>IF($A100="","",IF($D100="Baseline",1,IF($D100="Elevated",IF(OR('Profile'!$B$11="Elevated",'Profile'!$B$11="Critical"),1,0),IF($D100="Critical",IF('Profile'!$B$11="Critical",1,0),1))))</x:f>
      </x:c>
      <x:c r="R100" t="str">
        <x:f>IF($A100="","",IF($Q100=0,0,IF($H100="N/A",0,IF($H100="Met",IF(AND($K100&gt;=VALUE(RIGHT($G100,1)),$L100="Yes"),1,0),IF($H100="Partially met",IF(AND($K100&gt;=1,$L100="Yes"),0.5,0),0)))))</x:f>
      </x:c>
      <x:c r="S100" t="str">
        <x:f>IF($A100="","",IF($Q100=0,0,IF($H100="N/A",IF(AND($P100&lt;&gt;"",$O100&lt;&gt;"",IFERROR(VLOOKUP($O100,'Exceptions'!$A$5:$M$204,2,FALSE),"")="N/A determination",IFERROR(VLOOKUP($O100,'Exceptions'!$A$5:$M$204,13,FALSE),"")="Active",IFERROR(ISNUMBER(SEARCH($A100,IFERROR(VLOOKUP($O100,'Exceptions'!$A$5:$M$204,3,FALSE),""))),FALSE)),0,1),1)))</x:f>
      </x:c>
      <x:c r="T100" t="str">
        <x:f>IF($A100="","",IF($C100="","",IF($H100="N/A",IF(AND($P100&lt;&gt;"",$O100&lt;&gt;"",IFERROR(VLOOKUP($O100,'Exceptions'!$A$5:$M$204,2,FALSE),"")="N/A determination",IFERROR(VLOOKUP($O100,'Exceptions'!$A$5:$M$204,13,FALSE),"")="Active",IFERROR(ISNUMBER(SEARCH($A100,IFERROR(VLOOKUP($O100,'Exceptions'!$A$5:$M$204,3,FALSE),""))),FALSE)),"N/A","FAIL"),IF(OR($H100="Unknown",$H100="",$K100=0,$L100&lt;&gt;"Yes"),"UNKNOWN",IF($H100="Met",IF($K100&gt;=VALUE(RIGHT($G100,1)),"PASS","UNKNOWN"),IF(OR($H100="Partially met",$H100="Unmet"),"FAIL","UNKNOWN"))))))</x:f>
      </x:c>
      <x:c r="U100" t="str">
        <x:f>IF($A100="","",IF($S100=0,0,IF(AND($K100&gt;=1,$L100="Yes"),1,0)))</x:f>
      </x:c>
      <x:c r="V100" t="str">
        <x:f>IF($A100="","",IF(OR($S100=0,$H100="N/A",$L100&lt;&gt;"Yes"),0,$K100))</x:f>
      </x:c>
      <x:c r="AB100" t="str">
        <x:f>IF($A100="","",IF(AND($Q100=1,$H100="N/A",NOT(AND($P100&lt;&gt;"",$O100&lt;&gt;"",IFERROR(VLOOKUP($O100,'Exceptions'!$A$5:$M$204,2,FALSE),"")="N/A determination",IFERROR(VLOOKUP($O100,'Exceptions'!$A$5:$M$204,13,FALSE),"")="Active",IFERROR(ISNUMBER(SEARCH($A100,IFERROR(VLOOKUP($O100,'Exceptions'!$A$5:$M$204,3,FALSE),""))),FALSE)))),"MISSING OR INVALID N/A DECISION",IF(AND($Q100=1,OR($H100="Partially met",$H100="Unmet"),OR($K100&lt;1,$L100&lt;&gt;"Yes")),"KNOWN RATING NEEDS FRESH E1",IF(AND($Q100=1,$H100="Met",OR($K100&lt;VALUE(RIGHT($G100,1)),$L100&lt;&gt;"Yes")),"EVIDENCE BELOW MINIMUM",IF(AND($Q100=1,OR($H100="",$H100="Unknown")),"UNASSESSED",IF(AND($H100="N/A",AND($P100&lt;&gt;"",$O100&lt;&gt;"",IFERROR(VLOOKUP($O100,'Exceptions'!$A$5:$M$204,2,FALSE),"")="N/A determination",IFERROR(VLOOKUP($O100,'Exceptions'!$A$5:$M$204,13,FALSE),"")="Active",IFERROR(ISNUMBER(SEARCH($A100,IFERROR(VLOOKUP($O100,'Exceptions'!$A$5:$M$204,3,FALSE),""))),FALSE))),"N/A APPROVED",IF($O100&lt;&gt;"","EXCEPTION REVIEW","OK")))))))</x:f>
      </x:c>
    </x:row>
    <x:row r="101">
      <x:c r="H101" s="8"/>
      <x:c r="I101" t="str">
        <x:f>IF($A101="","",IF($H101="Met",1,IF($H101="Partially met",0.5,IF(OR($H101="Unmet",$H101="Unknown"),0,""))))</x:f>
      </x:c>
      <x:c r="J101" s="8"/>
      <x:c r="K101" t="str">
        <x:f>IF($A101="","",IF($J101="E4",4,IF($J101="E3",3,IF($J101="E2",2,IF($J101="E1",1,0)))))</x:f>
      </x:c>
      <x:c r="L101" s="8"/>
      <x:c r="M101" s="8"/>
      <x:c r="N101" s="8"/>
      <x:c r="O101" s="8"/>
      <x:c r="P101" s="8"/>
      <x:c r="Q101" t="str">
        <x:f>IF($A101="","",IF($D101="Baseline",1,IF($D101="Elevated",IF(OR('Profile'!$B$11="Elevated",'Profile'!$B$11="Critical"),1,0),IF($D101="Critical",IF('Profile'!$B$11="Critical",1,0),1))))</x:f>
      </x:c>
      <x:c r="R101" t="str">
        <x:f>IF($A101="","",IF($Q101=0,0,IF($H101="N/A",0,IF($H101="Met",IF(AND($K101&gt;=VALUE(RIGHT($G101,1)),$L101="Yes"),1,0),IF($H101="Partially met",IF(AND($K101&gt;=1,$L101="Yes"),0.5,0),0)))))</x:f>
      </x:c>
      <x:c r="S101" t="str">
        <x:f>IF($A101="","",IF($Q101=0,0,IF($H101="N/A",IF(AND($P101&lt;&gt;"",$O101&lt;&gt;"",IFERROR(VLOOKUP($O101,'Exceptions'!$A$5:$M$204,2,FALSE),"")="N/A determination",IFERROR(VLOOKUP($O101,'Exceptions'!$A$5:$M$204,13,FALSE),"")="Active",IFERROR(ISNUMBER(SEARCH($A101,IFERROR(VLOOKUP($O101,'Exceptions'!$A$5:$M$204,3,FALSE),""))),FALSE)),0,1),1)))</x:f>
      </x:c>
      <x:c r="T101" t="str">
        <x:f>IF($A101="","",IF($C101="","",IF($H101="N/A",IF(AND($P101&lt;&gt;"",$O101&lt;&gt;"",IFERROR(VLOOKUP($O101,'Exceptions'!$A$5:$M$204,2,FALSE),"")="N/A determination",IFERROR(VLOOKUP($O101,'Exceptions'!$A$5:$M$204,13,FALSE),"")="Active",IFERROR(ISNUMBER(SEARCH($A101,IFERROR(VLOOKUP($O101,'Exceptions'!$A$5:$M$204,3,FALSE),""))),FALSE)),"N/A","FAIL"),IF(OR($H101="Unknown",$H101="",$K101=0,$L101&lt;&gt;"Yes"),"UNKNOWN",IF($H101="Met",IF($K101&gt;=VALUE(RIGHT($G101,1)),"PASS","UNKNOWN"),IF(OR($H101="Partially met",$H101="Unmet"),"FAIL","UNKNOWN"))))))</x:f>
      </x:c>
      <x:c r="U101" t="str">
        <x:f>IF($A101="","",IF($S101=0,0,IF(AND($K101&gt;=1,$L101="Yes"),1,0)))</x:f>
      </x:c>
      <x:c r="V101" t="str">
        <x:f>IF($A101="","",IF(OR($S101=0,$H101="N/A",$L101&lt;&gt;"Yes"),0,$K101))</x:f>
      </x:c>
      <x:c r="AB101" t="str">
        <x:f>IF($A101="","",IF(AND($Q101=1,$H101="N/A",NOT(AND($P101&lt;&gt;"",$O101&lt;&gt;"",IFERROR(VLOOKUP($O101,'Exceptions'!$A$5:$M$204,2,FALSE),"")="N/A determination",IFERROR(VLOOKUP($O101,'Exceptions'!$A$5:$M$204,13,FALSE),"")="Active",IFERROR(ISNUMBER(SEARCH($A101,IFERROR(VLOOKUP($O101,'Exceptions'!$A$5:$M$204,3,FALSE),""))),FALSE)))),"MISSING OR INVALID N/A DECISION",IF(AND($Q101=1,OR($H101="Partially met",$H101="Unmet"),OR($K101&lt;1,$L101&lt;&gt;"Yes")),"KNOWN RATING NEEDS FRESH E1",IF(AND($Q101=1,$H101="Met",OR($K101&lt;VALUE(RIGHT($G101,1)),$L101&lt;&gt;"Yes")),"EVIDENCE BELOW MINIMUM",IF(AND($Q101=1,OR($H101="",$H101="Unknown")),"UNASSESSED",IF(AND($H101="N/A",AND($P101&lt;&gt;"",$O101&lt;&gt;"",IFERROR(VLOOKUP($O101,'Exceptions'!$A$5:$M$204,2,FALSE),"")="N/A determination",IFERROR(VLOOKUP($O101,'Exceptions'!$A$5:$M$204,13,FALSE),"")="Active",IFERROR(ISNUMBER(SEARCH($A101,IFERROR(VLOOKUP($O101,'Exceptions'!$A$5:$M$204,3,FALSE),""))),FALSE))),"N/A APPROVED",IF($O101&lt;&gt;"","EXCEPTION REVIEW","OK")))))))</x:f>
      </x:c>
    </x:row>
    <x:row r="102">
      <x:c r="H102" s="8"/>
      <x:c r="I102" t="str">
        <x:f>IF($A102="","",IF($H102="Met",1,IF($H102="Partially met",0.5,IF(OR($H102="Unmet",$H102="Unknown"),0,""))))</x:f>
      </x:c>
      <x:c r="J102" s="8"/>
      <x:c r="K102" t="str">
        <x:f>IF($A102="","",IF($J102="E4",4,IF($J102="E3",3,IF($J102="E2",2,IF($J102="E1",1,0)))))</x:f>
      </x:c>
      <x:c r="L102" s="8"/>
      <x:c r="M102" s="8"/>
      <x:c r="N102" s="8"/>
      <x:c r="O102" s="8"/>
      <x:c r="P102" s="8"/>
      <x:c r="Q102" t="str">
        <x:f>IF($A102="","",IF($D102="Baseline",1,IF($D102="Elevated",IF(OR('Profile'!$B$11="Elevated",'Profile'!$B$11="Critical"),1,0),IF($D102="Critical",IF('Profile'!$B$11="Critical",1,0),1))))</x:f>
      </x:c>
      <x:c r="R102" t="str">
        <x:f>IF($A102="","",IF($Q102=0,0,IF($H102="N/A",0,IF($H102="Met",IF(AND($K102&gt;=VALUE(RIGHT($G102,1)),$L102="Yes"),1,0),IF($H102="Partially met",IF(AND($K102&gt;=1,$L102="Yes"),0.5,0),0)))))</x:f>
      </x:c>
      <x:c r="S102" t="str">
        <x:f>IF($A102="","",IF($Q102=0,0,IF($H102="N/A",IF(AND($P102&lt;&gt;"",$O102&lt;&gt;"",IFERROR(VLOOKUP($O102,'Exceptions'!$A$5:$M$204,2,FALSE),"")="N/A determination",IFERROR(VLOOKUP($O102,'Exceptions'!$A$5:$M$204,13,FALSE),"")="Active",IFERROR(ISNUMBER(SEARCH($A102,IFERROR(VLOOKUP($O102,'Exceptions'!$A$5:$M$204,3,FALSE),""))),FALSE)),0,1),1)))</x:f>
      </x:c>
      <x:c r="T102" t="str">
        <x:f>IF($A102="","",IF($C102="","",IF($H102="N/A",IF(AND($P102&lt;&gt;"",$O102&lt;&gt;"",IFERROR(VLOOKUP($O102,'Exceptions'!$A$5:$M$204,2,FALSE),"")="N/A determination",IFERROR(VLOOKUP($O102,'Exceptions'!$A$5:$M$204,13,FALSE),"")="Active",IFERROR(ISNUMBER(SEARCH($A102,IFERROR(VLOOKUP($O102,'Exceptions'!$A$5:$M$204,3,FALSE),""))),FALSE)),"N/A","FAIL"),IF(OR($H102="Unknown",$H102="",$K102=0,$L102&lt;&gt;"Yes"),"UNKNOWN",IF($H102="Met",IF($K102&gt;=VALUE(RIGHT($G102,1)),"PASS","UNKNOWN"),IF(OR($H102="Partially met",$H102="Unmet"),"FAIL","UNKNOWN"))))))</x:f>
      </x:c>
      <x:c r="U102" t="str">
        <x:f>IF($A102="","",IF($S102=0,0,IF(AND($K102&gt;=1,$L102="Yes"),1,0)))</x:f>
      </x:c>
      <x:c r="V102" t="str">
        <x:f>IF($A102="","",IF(OR($S102=0,$H102="N/A",$L102&lt;&gt;"Yes"),0,$K102))</x:f>
      </x:c>
      <x:c r="AB102" t="str">
        <x:f>IF($A102="","",IF(AND($Q102=1,$H102="N/A",NOT(AND($P102&lt;&gt;"",$O102&lt;&gt;"",IFERROR(VLOOKUP($O102,'Exceptions'!$A$5:$M$204,2,FALSE),"")="N/A determination",IFERROR(VLOOKUP($O102,'Exceptions'!$A$5:$M$204,13,FALSE),"")="Active",IFERROR(ISNUMBER(SEARCH($A102,IFERROR(VLOOKUP($O102,'Exceptions'!$A$5:$M$204,3,FALSE),""))),FALSE)))),"MISSING OR INVALID N/A DECISION",IF(AND($Q102=1,OR($H102="Partially met",$H102="Unmet"),OR($K102&lt;1,$L102&lt;&gt;"Yes")),"KNOWN RATING NEEDS FRESH E1",IF(AND($Q102=1,$H102="Met",OR($K102&lt;VALUE(RIGHT($G102,1)),$L102&lt;&gt;"Yes")),"EVIDENCE BELOW MINIMUM",IF(AND($Q102=1,OR($H102="",$H102="Unknown")),"UNASSESSED",IF(AND($H102="N/A",AND($P102&lt;&gt;"",$O102&lt;&gt;"",IFERROR(VLOOKUP($O102,'Exceptions'!$A$5:$M$204,2,FALSE),"")="N/A determination",IFERROR(VLOOKUP($O102,'Exceptions'!$A$5:$M$204,13,FALSE),"")="Active",IFERROR(ISNUMBER(SEARCH($A102,IFERROR(VLOOKUP($O102,'Exceptions'!$A$5:$M$204,3,FALSE),""))),FALSE))),"N/A APPROVED",IF($O102&lt;&gt;"","EXCEPTION REVIEW","OK")))))))</x:f>
      </x:c>
    </x:row>
    <x:row r="103">
      <x:c r="H103" s="8"/>
      <x:c r="I103" t="str">
        <x:f>IF($A103="","",IF($H103="Met",1,IF($H103="Partially met",0.5,IF(OR($H103="Unmet",$H103="Unknown"),0,""))))</x:f>
      </x:c>
      <x:c r="J103" s="8"/>
      <x:c r="K103" t="str">
        <x:f>IF($A103="","",IF($J103="E4",4,IF($J103="E3",3,IF($J103="E2",2,IF($J103="E1",1,0)))))</x:f>
      </x:c>
      <x:c r="L103" s="8"/>
      <x:c r="M103" s="8"/>
      <x:c r="N103" s="8"/>
      <x:c r="O103" s="8"/>
      <x:c r="P103" s="8"/>
      <x:c r="Q103" t="str">
        <x:f>IF($A103="","",IF($D103="Baseline",1,IF($D103="Elevated",IF(OR('Profile'!$B$11="Elevated",'Profile'!$B$11="Critical"),1,0),IF($D103="Critical",IF('Profile'!$B$11="Critical",1,0),1))))</x:f>
      </x:c>
      <x:c r="R103" t="str">
        <x:f>IF($A103="","",IF($Q103=0,0,IF($H103="N/A",0,IF($H103="Met",IF(AND($K103&gt;=VALUE(RIGHT($G103,1)),$L103="Yes"),1,0),IF($H103="Partially met",IF(AND($K103&gt;=1,$L103="Yes"),0.5,0),0)))))</x:f>
      </x:c>
      <x:c r="S103" t="str">
        <x:f>IF($A103="","",IF($Q103=0,0,IF($H103="N/A",IF(AND($P103&lt;&gt;"",$O103&lt;&gt;"",IFERROR(VLOOKUP($O103,'Exceptions'!$A$5:$M$204,2,FALSE),"")="N/A determination",IFERROR(VLOOKUP($O103,'Exceptions'!$A$5:$M$204,13,FALSE),"")="Active",IFERROR(ISNUMBER(SEARCH($A103,IFERROR(VLOOKUP($O103,'Exceptions'!$A$5:$M$204,3,FALSE),""))),FALSE)),0,1),1)))</x:f>
      </x:c>
      <x:c r="T103" t="str">
        <x:f>IF($A103="","",IF($C103="","",IF($H103="N/A",IF(AND($P103&lt;&gt;"",$O103&lt;&gt;"",IFERROR(VLOOKUP($O103,'Exceptions'!$A$5:$M$204,2,FALSE),"")="N/A determination",IFERROR(VLOOKUP($O103,'Exceptions'!$A$5:$M$204,13,FALSE),"")="Active",IFERROR(ISNUMBER(SEARCH($A103,IFERROR(VLOOKUP($O103,'Exceptions'!$A$5:$M$204,3,FALSE),""))),FALSE)),"N/A","FAIL"),IF(OR($H103="Unknown",$H103="",$K103=0,$L103&lt;&gt;"Yes"),"UNKNOWN",IF($H103="Met",IF($K103&gt;=VALUE(RIGHT($G103,1)),"PASS","UNKNOWN"),IF(OR($H103="Partially met",$H103="Unmet"),"FAIL","UNKNOWN"))))))</x:f>
      </x:c>
      <x:c r="U103" t="str">
        <x:f>IF($A103="","",IF($S103=0,0,IF(AND($K103&gt;=1,$L103="Yes"),1,0)))</x:f>
      </x:c>
      <x:c r="V103" t="str">
        <x:f>IF($A103="","",IF(OR($S103=0,$H103="N/A",$L103&lt;&gt;"Yes"),0,$K103))</x:f>
      </x:c>
      <x:c r="AB103" t="str">
        <x:f>IF($A103="","",IF(AND($Q103=1,$H103="N/A",NOT(AND($P103&lt;&gt;"",$O103&lt;&gt;"",IFERROR(VLOOKUP($O103,'Exceptions'!$A$5:$M$204,2,FALSE),"")="N/A determination",IFERROR(VLOOKUP($O103,'Exceptions'!$A$5:$M$204,13,FALSE),"")="Active",IFERROR(ISNUMBER(SEARCH($A103,IFERROR(VLOOKUP($O103,'Exceptions'!$A$5:$M$204,3,FALSE),""))),FALSE)))),"MISSING OR INVALID N/A DECISION",IF(AND($Q103=1,OR($H103="Partially met",$H103="Unmet"),OR($K103&lt;1,$L103&lt;&gt;"Yes")),"KNOWN RATING NEEDS FRESH E1",IF(AND($Q103=1,$H103="Met",OR($K103&lt;VALUE(RIGHT($G103,1)),$L103&lt;&gt;"Yes")),"EVIDENCE BELOW MINIMUM",IF(AND($Q103=1,OR($H103="",$H103="Unknown")),"UNASSESSED",IF(AND($H103="N/A",AND($P103&lt;&gt;"",$O103&lt;&gt;"",IFERROR(VLOOKUP($O103,'Exceptions'!$A$5:$M$204,2,FALSE),"")="N/A determination",IFERROR(VLOOKUP($O103,'Exceptions'!$A$5:$M$204,13,FALSE),"")="Active",IFERROR(ISNUMBER(SEARCH($A103,IFERROR(VLOOKUP($O103,'Exceptions'!$A$5:$M$204,3,FALSE),""))),FALSE))),"N/A APPROVED",IF($O103&lt;&gt;"","EXCEPTION REVIEW","OK")))))))</x:f>
      </x:c>
    </x:row>
    <x:row r="104">
      <x:c r="H104" s="8"/>
      <x:c r="I104" t="str">
        <x:f>IF($A104="","",IF($H104="Met",1,IF($H104="Partially met",0.5,IF(OR($H104="Unmet",$H104="Unknown"),0,""))))</x:f>
      </x:c>
      <x:c r="J104" s="8"/>
      <x:c r="K104" t="str">
        <x:f>IF($A104="","",IF($J104="E4",4,IF($J104="E3",3,IF($J104="E2",2,IF($J104="E1",1,0)))))</x:f>
      </x:c>
      <x:c r="L104" s="8"/>
      <x:c r="M104" s="8"/>
      <x:c r="N104" s="8"/>
      <x:c r="O104" s="8"/>
      <x:c r="P104" s="8"/>
      <x:c r="Q104" t="str">
        <x:f>IF($A104="","",IF($D104="Baseline",1,IF($D104="Elevated",IF(OR('Profile'!$B$11="Elevated",'Profile'!$B$11="Critical"),1,0),IF($D104="Critical",IF('Profile'!$B$11="Critical",1,0),1))))</x:f>
      </x:c>
      <x:c r="R104" t="str">
        <x:f>IF($A104="","",IF($Q104=0,0,IF($H104="N/A",0,IF($H104="Met",IF(AND($K104&gt;=VALUE(RIGHT($G104,1)),$L104="Yes"),1,0),IF($H104="Partially met",IF(AND($K104&gt;=1,$L104="Yes"),0.5,0),0)))))</x:f>
      </x:c>
      <x:c r="S104" t="str">
        <x:f>IF($A104="","",IF($Q104=0,0,IF($H104="N/A",IF(AND($P104&lt;&gt;"",$O104&lt;&gt;"",IFERROR(VLOOKUP($O104,'Exceptions'!$A$5:$M$204,2,FALSE),"")="N/A determination",IFERROR(VLOOKUP($O104,'Exceptions'!$A$5:$M$204,13,FALSE),"")="Active",IFERROR(ISNUMBER(SEARCH($A104,IFERROR(VLOOKUP($O104,'Exceptions'!$A$5:$M$204,3,FALSE),""))),FALSE)),0,1),1)))</x:f>
      </x:c>
      <x:c r="T104" t="str">
        <x:f>IF($A104="","",IF($C104="","",IF($H104="N/A",IF(AND($P104&lt;&gt;"",$O104&lt;&gt;"",IFERROR(VLOOKUP($O104,'Exceptions'!$A$5:$M$204,2,FALSE),"")="N/A determination",IFERROR(VLOOKUP($O104,'Exceptions'!$A$5:$M$204,13,FALSE),"")="Active",IFERROR(ISNUMBER(SEARCH($A104,IFERROR(VLOOKUP($O104,'Exceptions'!$A$5:$M$204,3,FALSE),""))),FALSE)),"N/A","FAIL"),IF(OR($H104="Unknown",$H104="",$K104=0,$L104&lt;&gt;"Yes"),"UNKNOWN",IF($H104="Met",IF($K104&gt;=VALUE(RIGHT($G104,1)),"PASS","UNKNOWN"),IF(OR($H104="Partially met",$H104="Unmet"),"FAIL","UNKNOWN"))))))</x:f>
      </x:c>
      <x:c r="U104" t="str">
        <x:f>IF($A104="","",IF($S104=0,0,IF(AND($K104&gt;=1,$L104="Yes"),1,0)))</x:f>
      </x:c>
      <x:c r="V104" t="str">
        <x:f>IF($A104="","",IF(OR($S104=0,$H104="N/A",$L104&lt;&gt;"Yes"),0,$K104))</x:f>
      </x:c>
      <x:c r="AB104" t="str">
        <x:f>IF($A104="","",IF(AND($Q104=1,$H104="N/A",NOT(AND($P104&lt;&gt;"",$O104&lt;&gt;"",IFERROR(VLOOKUP($O104,'Exceptions'!$A$5:$M$204,2,FALSE),"")="N/A determination",IFERROR(VLOOKUP($O104,'Exceptions'!$A$5:$M$204,13,FALSE),"")="Active",IFERROR(ISNUMBER(SEARCH($A104,IFERROR(VLOOKUP($O104,'Exceptions'!$A$5:$M$204,3,FALSE),""))),FALSE)))),"MISSING OR INVALID N/A DECISION",IF(AND($Q104=1,OR($H104="Partially met",$H104="Unmet"),OR($K104&lt;1,$L104&lt;&gt;"Yes")),"KNOWN RATING NEEDS FRESH E1",IF(AND($Q104=1,$H104="Met",OR($K104&lt;VALUE(RIGHT($G104,1)),$L104&lt;&gt;"Yes")),"EVIDENCE BELOW MINIMUM",IF(AND($Q104=1,OR($H104="",$H104="Unknown")),"UNASSESSED",IF(AND($H104="N/A",AND($P104&lt;&gt;"",$O104&lt;&gt;"",IFERROR(VLOOKUP($O104,'Exceptions'!$A$5:$M$204,2,FALSE),"")="N/A determination",IFERROR(VLOOKUP($O104,'Exceptions'!$A$5:$M$204,13,FALSE),"")="Active",IFERROR(ISNUMBER(SEARCH($A104,IFERROR(VLOOKUP($O104,'Exceptions'!$A$5:$M$204,3,FALSE),""))),FALSE))),"N/A APPROVED",IF($O104&lt;&gt;"","EXCEPTION REVIEW","OK")))))))</x:f>
      </x:c>
    </x:row>
    <x:row r="105">
      <x:c r="H105" s="8"/>
      <x:c r="I105" t="str">
        <x:f>IF($A105="","",IF($H105="Met",1,IF($H105="Partially met",0.5,IF(OR($H105="Unmet",$H105="Unknown"),0,""))))</x:f>
      </x:c>
      <x:c r="J105" s="8"/>
      <x:c r="K105" t="str">
        <x:f>IF($A105="","",IF($J105="E4",4,IF($J105="E3",3,IF($J105="E2",2,IF($J105="E1",1,0)))))</x:f>
      </x:c>
      <x:c r="L105" s="8"/>
      <x:c r="M105" s="8"/>
      <x:c r="N105" s="8"/>
      <x:c r="O105" s="8"/>
      <x:c r="P105" s="8"/>
      <x:c r="Q105" t="str">
        <x:f>IF($A105="","",IF($D105="Baseline",1,IF($D105="Elevated",IF(OR('Profile'!$B$11="Elevated",'Profile'!$B$11="Critical"),1,0),IF($D105="Critical",IF('Profile'!$B$11="Critical",1,0),1))))</x:f>
      </x:c>
      <x:c r="R105" t="str">
        <x:f>IF($A105="","",IF($Q105=0,0,IF($H105="N/A",0,IF($H105="Met",IF(AND($K105&gt;=VALUE(RIGHT($G105,1)),$L105="Yes"),1,0),IF($H105="Partially met",IF(AND($K105&gt;=1,$L105="Yes"),0.5,0),0)))))</x:f>
      </x:c>
      <x:c r="S105" t="str">
        <x:f>IF($A105="","",IF($Q105=0,0,IF($H105="N/A",IF(AND($P105&lt;&gt;"",$O105&lt;&gt;"",IFERROR(VLOOKUP($O105,'Exceptions'!$A$5:$M$204,2,FALSE),"")="N/A determination",IFERROR(VLOOKUP($O105,'Exceptions'!$A$5:$M$204,13,FALSE),"")="Active",IFERROR(ISNUMBER(SEARCH($A105,IFERROR(VLOOKUP($O105,'Exceptions'!$A$5:$M$204,3,FALSE),""))),FALSE)),0,1),1)))</x:f>
      </x:c>
      <x:c r="T105" t="str">
        <x:f>IF($A105="","",IF($C105="","",IF($H105="N/A",IF(AND($P105&lt;&gt;"",$O105&lt;&gt;"",IFERROR(VLOOKUP($O105,'Exceptions'!$A$5:$M$204,2,FALSE),"")="N/A determination",IFERROR(VLOOKUP($O105,'Exceptions'!$A$5:$M$204,13,FALSE),"")="Active",IFERROR(ISNUMBER(SEARCH($A105,IFERROR(VLOOKUP($O105,'Exceptions'!$A$5:$M$204,3,FALSE),""))),FALSE)),"N/A","FAIL"),IF(OR($H105="Unknown",$H105="",$K105=0,$L105&lt;&gt;"Yes"),"UNKNOWN",IF($H105="Met",IF($K105&gt;=VALUE(RIGHT($G105,1)),"PASS","UNKNOWN"),IF(OR($H105="Partially met",$H105="Unmet"),"FAIL","UNKNOWN"))))))</x:f>
      </x:c>
      <x:c r="U105" t="str">
        <x:f>IF($A105="","",IF($S105=0,0,IF(AND($K105&gt;=1,$L105="Yes"),1,0)))</x:f>
      </x:c>
      <x:c r="V105" t="str">
        <x:f>IF($A105="","",IF(OR($S105=0,$H105="N/A",$L105&lt;&gt;"Yes"),0,$K105))</x:f>
      </x:c>
      <x:c r="AB105" t="str">
        <x:f>IF($A105="","",IF(AND($Q105=1,$H105="N/A",NOT(AND($P105&lt;&gt;"",$O105&lt;&gt;"",IFERROR(VLOOKUP($O105,'Exceptions'!$A$5:$M$204,2,FALSE),"")="N/A determination",IFERROR(VLOOKUP($O105,'Exceptions'!$A$5:$M$204,13,FALSE),"")="Active",IFERROR(ISNUMBER(SEARCH($A105,IFERROR(VLOOKUP($O105,'Exceptions'!$A$5:$M$204,3,FALSE),""))),FALSE)))),"MISSING OR INVALID N/A DECISION",IF(AND($Q105=1,OR($H105="Partially met",$H105="Unmet"),OR($K105&lt;1,$L105&lt;&gt;"Yes")),"KNOWN RATING NEEDS FRESH E1",IF(AND($Q105=1,$H105="Met",OR($K105&lt;VALUE(RIGHT($G105,1)),$L105&lt;&gt;"Yes")),"EVIDENCE BELOW MINIMUM",IF(AND($Q105=1,OR($H105="",$H105="Unknown")),"UNASSESSED",IF(AND($H105="N/A",AND($P105&lt;&gt;"",$O105&lt;&gt;"",IFERROR(VLOOKUP($O105,'Exceptions'!$A$5:$M$204,2,FALSE),"")="N/A determination",IFERROR(VLOOKUP($O105,'Exceptions'!$A$5:$M$204,13,FALSE),"")="Active",IFERROR(ISNUMBER(SEARCH($A105,IFERROR(VLOOKUP($O105,'Exceptions'!$A$5:$M$204,3,FALSE),""))),FALSE))),"N/A APPROVED",IF($O105&lt;&gt;"","EXCEPTION REVIEW","OK")))))))</x:f>
      </x:c>
    </x:row>
    <x:row r="106">
      <x:c r="H106" s="8"/>
      <x:c r="I106" t="str">
        <x:f>IF($A106="","",IF($H106="Met",1,IF($H106="Partially met",0.5,IF(OR($H106="Unmet",$H106="Unknown"),0,""))))</x:f>
      </x:c>
      <x:c r="J106" s="8"/>
      <x:c r="K106" t="str">
        <x:f>IF($A106="","",IF($J106="E4",4,IF($J106="E3",3,IF($J106="E2",2,IF($J106="E1",1,0)))))</x:f>
      </x:c>
      <x:c r="L106" s="8"/>
      <x:c r="M106" s="8"/>
      <x:c r="N106" s="8"/>
      <x:c r="O106" s="8"/>
      <x:c r="P106" s="8"/>
      <x:c r="Q106" t="str">
        <x:f>IF($A106="","",IF($D106="Baseline",1,IF($D106="Elevated",IF(OR('Profile'!$B$11="Elevated",'Profile'!$B$11="Critical"),1,0),IF($D106="Critical",IF('Profile'!$B$11="Critical",1,0),1))))</x:f>
      </x:c>
      <x:c r="R106" t="str">
        <x:f>IF($A106="","",IF($Q106=0,0,IF($H106="N/A",0,IF($H106="Met",IF(AND($K106&gt;=VALUE(RIGHT($G106,1)),$L106="Yes"),1,0),IF($H106="Partially met",IF(AND($K106&gt;=1,$L106="Yes"),0.5,0),0)))))</x:f>
      </x:c>
      <x:c r="S106" t="str">
        <x:f>IF($A106="","",IF($Q106=0,0,IF($H106="N/A",IF(AND($P106&lt;&gt;"",$O106&lt;&gt;"",IFERROR(VLOOKUP($O106,'Exceptions'!$A$5:$M$204,2,FALSE),"")="N/A determination",IFERROR(VLOOKUP($O106,'Exceptions'!$A$5:$M$204,13,FALSE),"")="Active",IFERROR(ISNUMBER(SEARCH($A106,IFERROR(VLOOKUP($O106,'Exceptions'!$A$5:$M$204,3,FALSE),""))),FALSE)),0,1),1)))</x:f>
      </x:c>
      <x:c r="T106" t="str">
        <x:f>IF($A106="","",IF($C106="","",IF($H106="N/A",IF(AND($P106&lt;&gt;"",$O106&lt;&gt;"",IFERROR(VLOOKUP($O106,'Exceptions'!$A$5:$M$204,2,FALSE),"")="N/A determination",IFERROR(VLOOKUP($O106,'Exceptions'!$A$5:$M$204,13,FALSE),"")="Active",IFERROR(ISNUMBER(SEARCH($A106,IFERROR(VLOOKUP($O106,'Exceptions'!$A$5:$M$204,3,FALSE),""))),FALSE)),"N/A","FAIL"),IF(OR($H106="Unknown",$H106="",$K106=0,$L106&lt;&gt;"Yes"),"UNKNOWN",IF($H106="Met",IF($K106&gt;=VALUE(RIGHT($G106,1)),"PASS","UNKNOWN"),IF(OR($H106="Partially met",$H106="Unmet"),"FAIL","UNKNOWN"))))))</x:f>
      </x:c>
      <x:c r="U106" t="str">
        <x:f>IF($A106="","",IF($S106=0,0,IF(AND($K106&gt;=1,$L106="Yes"),1,0)))</x:f>
      </x:c>
      <x:c r="V106" t="str">
        <x:f>IF($A106="","",IF(OR($S106=0,$H106="N/A",$L106&lt;&gt;"Yes"),0,$K106))</x:f>
      </x:c>
      <x:c r="AB106" t="str">
        <x:f>IF($A106="","",IF(AND($Q106=1,$H106="N/A",NOT(AND($P106&lt;&gt;"",$O106&lt;&gt;"",IFERROR(VLOOKUP($O106,'Exceptions'!$A$5:$M$204,2,FALSE),"")="N/A determination",IFERROR(VLOOKUP($O106,'Exceptions'!$A$5:$M$204,13,FALSE),"")="Active",IFERROR(ISNUMBER(SEARCH($A106,IFERROR(VLOOKUP($O106,'Exceptions'!$A$5:$M$204,3,FALSE),""))),FALSE)))),"MISSING OR INVALID N/A DECISION",IF(AND($Q106=1,OR($H106="Partially met",$H106="Unmet"),OR($K106&lt;1,$L106&lt;&gt;"Yes")),"KNOWN RATING NEEDS FRESH E1",IF(AND($Q106=1,$H106="Met",OR($K106&lt;VALUE(RIGHT($G106,1)),$L106&lt;&gt;"Yes")),"EVIDENCE BELOW MINIMUM",IF(AND($Q106=1,OR($H106="",$H106="Unknown")),"UNASSESSED",IF(AND($H106="N/A",AND($P106&lt;&gt;"",$O106&lt;&gt;"",IFERROR(VLOOKUP($O106,'Exceptions'!$A$5:$M$204,2,FALSE),"")="N/A determination",IFERROR(VLOOKUP($O106,'Exceptions'!$A$5:$M$204,13,FALSE),"")="Active",IFERROR(ISNUMBER(SEARCH($A106,IFERROR(VLOOKUP($O106,'Exceptions'!$A$5:$M$204,3,FALSE),""))),FALSE))),"N/A APPROVED",IF($O106&lt;&gt;"","EXCEPTION REVIEW","OK")))))))</x:f>
      </x:c>
    </x:row>
    <x:row r="107">
      <x:c r="H107" s="8"/>
      <x:c r="I107" t="str">
        <x:f>IF($A107="","",IF($H107="Met",1,IF($H107="Partially met",0.5,IF(OR($H107="Unmet",$H107="Unknown"),0,""))))</x:f>
      </x:c>
      <x:c r="J107" s="8"/>
      <x:c r="K107" t="str">
        <x:f>IF($A107="","",IF($J107="E4",4,IF($J107="E3",3,IF($J107="E2",2,IF($J107="E1",1,0)))))</x:f>
      </x:c>
      <x:c r="L107" s="8"/>
      <x:c r="M107" s="8"/>
      <x:c r="N107" s="8"/>
      <x:c r="O107" s="8"/>
      <x:c r="P107" s="8"/>
      <x:c r="Q107" t="str">
        <x:f>IF($A107="","",IF($D107="Baseline",1,IF($D107="Elevated",IF(OR('Profile'!$B$11="Elevated",'Profile'!$B$11="Critical"),1,0),IF($D107="Critical",IF('Profile'!$B$11="Critical",1,0),1))))</x:f>
      </x:c>
      <x:c r="R107" t="str">
        <x:f>IF($A107="","",IF($Q107=0,0,IF($H107="N/A",0,IF($H107="Met",IF(AND($K107&gt;=VALUE(RIGHT($G107,1)),$L107="Yes"),1,0),IF($H107="Partially met",IF(AND($K107&gt;=1,$L107="Yes"),0.5,0),0)))))</x:f>
      </x:c>
      <x:c r="S107" t="str">
        <x:f>IF($A107="","",IF($Q107=0,0,IF($H107="N/A",IF(AND($P107&lt;&gt;"",$O107&lt;&gt;"",IFERROR(VLOOKUP($O107,'Exceptions'!$A$5:$M$204,2,FALSE),"")="N/A determination",IFERROR(VLOOKUP($O107,'Exceptions'!$A$5:$M$204,13,FALSE),"")="Active",IFERROR(ISNUMBER(SEARCH($A107,IFERROR(VLOOKUP($O107,'Exceptions'!$A$5:$M$204,3,FALSE),""))),FALSE)),0,1),1)))</x:f>
      </x:c>
      <x:c r="T107" t="str">
        <x:f>IF($A107="","",IF($C107="","",IF($H107="N/A",IF(AND($P107&lt;&gt;"",$O107&lt;&gt;"",IFERROR(VLOOKUP($O107,'Exceptions'!$A$5:$M$204,2,FALSE),"")="N/A determination",IFERROR(VLOOKUP($O107,'Exceptions'!$A$5:$M$204,13,FALSE),"")="Active",IFERROR(ISNUMBER(SEARCH($A107,IFERROR(VLOOKUP($O107,'Exceptions'!$A$5:$M$204,3,FALSE),""))),FALSE)),"N/A","FAIL"),IF(OR($H107="Unknown",$H107="",$K107=0,$L107&lt;&gt;"Yes"),"UNKNOWN",IF($H107="Met",IF($K107&gt;=VALUE(RIGHT($G107,1)),"PASS","UNKNOWN"),IF(OR($H107="Partially met",$H107="Unmet"),"FAIL","UNKNOWN"))))))</x:f>
      </x:c>
      <x:c r="U107" t="str">
        <x:f>IF($A107="","",IF($S107=0,0,IF(AND($K107&gt;=1,$L107="Yes"),1,0)))</x:f>
      </x:c>
      <x:c r="V107" t="str">
        <x:f>IF($A107="","",IF(OR($S107=0,$H107="N/A",$L107&lt;&gt;"Yes"),0,$K107))</x:f>
      </x:c>
      <x:c r="AB107" t="str">
        <x:f>IF($A107="","",IF(AND($Q107=1,$H107="N/A",NOT(AND($P107&lt;&gt;"",$O107&lt;&gt;"",IFERROR(VLOOKUP($O107,'Exceptions'!$A$5:$M$204,2,FALSE),"")="N/A determination",IFERROR(VLOOKUP($O107,'Exceptions'!$A$5:$M$204,13,FALSE),"")="Active",IFERROR(ISNUMBER(SEARCH($A107,IFERROR(VLOOKUP($O107,'Exceptions'!$A$5:$M$204,3,FALSE),""))),FALSE)))),"MISSING OR INVALID N/A DECISION",IF(AND($Q107=1,OR($H107="Partially met",$H107="Unmet"),OR($K107&lt;1,$L107&lt;&gt;"Yes")),"KNOWN RATING NEEDS FRESH E1",IF(AND($Q107=1,$H107="Met",OR($K107&lt;VALUE(RIGHT($G107,1)),$L107&lt;&gt;"Yes")),"EVIDENCE BELOW MINIMUM",IF(AND($Q107=1,OR($H107="",$H107="Unknown")),"UNASSESSED",IF(AND($H107="N/A",AND($P107&lt;&gt;"",$O107&lt;&gt;"",IFERROR(VLOOKUP($O107,'Exceptions'!$A$5:$M$204,2,FALSE),"")="N/A determination",IFERROR(VLOOKUP($O107,'Exceptions'!$A$5:$M$204,13,FALSE),"")="Active",IFERROR(ISNUMBER(SEARCH($A107,IFERROR(VLOOKUP($O107,'Exceptions'!$A$5:$M$204,3,FALSE),""))),FALSE))),"N/A APPROVED",IF($O107&lt;&gt;"","EXCEPTION REVIEW","OK")))))))</x:f>
      </x:c>
    </x:row>
    <x:row r="108">
      <x:c r="H108" s="8"/>
      <x:c r="I108" t="str">
        <x:f>IF($A108="","",IF($H108="Met",1,IF($H108="Partially met",0.5,IF(OR($H108="Unmet",$H108="Unknown"),0,""))))</x:f>
      </x:c>
      <x:c r="J108" s="8"/>
      <x:c r="K108" t="str">
        <x:f>IF($A108="","",IF($J108="E4",4,IF($J108="E3",3,IF($J108="E2",2,IF($J108="E1",1,0)))))</x:f>
      </x:c>
      <x:c r="L108" s="8"/>
      <x:c r="M108" s="8"/>
      <x:c r="N108" s="8"/>
      <x:c r="O108" s="8"/>
      <x:c r="P108" s="8"/>
      <x:c r="Q108" t="str">
        <x:f>IF($A108="","",IF($D108="Baseline",1,IF($D108="Elevated",IF(OR('Profile'!$B$11="Elevated",'Profile'!$B$11="Critical"),1,0),IF($D108="Critical",IF('Profile'!$B$11="Critical",1,0),1))))</x:f>
      </x:c>
      <x:c r="R108" t="str">
        <x:f>IF($A108="","",IF($Q108=0,0,IF($H108="N/A",0,IF($H108="Met",IF(AND($K108&gt;=VALUE(RIGHT($G108,1)),$L108="Yes"),1,0),IF($H108="Partially met",IF(AND($K108&gt;=1,$L108="Yes"),0.5,0),0)))))</x:f>
      </x:c>
      <x:c r="S108" t="str">
        <x:f>IF($A108="","",IF($Q108=0,0,IF($H108="N/A",IF(AND($P108&lt;&gt;"",$O108&lt;&gt;"",IFERROR(VLOOKUP($O108,'Exceptions'!$A$5:$M$204,2,FALSE),"")="N/A determination",IFERROR(VLOOKUP($O108,'Exceptions'!$A$5:$M$204,13,FALSE),"")="Active",IFERROR(ISNUMBER(SEARCH($A108,IFERROR(VLOOKUP($O108,'Exceptions'!$A$5:$M$204,3,FALSE),""))),FALSE)),0,1),1)))</x:f>
      </x:c>
      <x:c r="T108" t="str">
        <x:f>IF($A108="","",IF($C108="","",IF($H108="N/A",IF(AND($P108&lt;&gt;"",$O108&lt;&gt;"",IFERROR(VLOOKUP($O108,'Exceptions'!$A$5:$M$204,2,FALSE),"")="N/A determination",IFERROR(VLOOKUP($O108,'Exceptions'!$A$5:$M$204,13,FALSE),"")="Active",IFERROR(ISNUMBER(SEARCH($A108,IFERROR(VLOOKUP($O108,'Exceptions'!$A$5:$M$204,3,FALSE),""))),FALSE)),"N/A","FAIL"),IF(OR($H108="Unknown",$H108="",$K108=0,$L108&lt;&gt;"Yes"),"UNKNOWN",IF($H108="Met",IF($K108&gt;=VALUE(RIGHT($G108,1)),"PASS","UNKNOWN"),IF(OR($H108="Partially met",$H108="Unmet"),"FAIL","UNKNOWN"))))))</x:f>
      </x:c>
      <x:c r="U108" t="str">
        <x:f>IF($A108="","",IF($S108=0,0,IF(AND($K108&gt;=1,$L108="Yes"),1,0)))</x:f>
      </x:c>
      <x:c r="V108" t="str">
        <x:f>IF($A108="","",IF(OR($S108=0,$H108="N/A",$L108&lt;&gt;"Yes"),0,$K108))</x:f>
      </x:c>
      <x:c r="AB108" t="str">
        <x:f>IF($A108="","",IF(AND($Q108=1,$H108="N/A",NOT(AND($P108&lt;&gt;"",$O108&lt;&gt;"",IFERROR(VLOOKUP($O108,'Exceptions'!$A$5:$M$204,2,FALSE),"")="N/A determination",IFERROR(VLOOKUP($O108,'Exceptions'!$A$5:$M$204,13,FALSE),"")="Active",IFERROR(ISNUMBER(SEARCH($A108,IFERROR(VLOOKUP($O108,'Exceptions'!$A$5:$M$204,3,FALSE),""))),FALSE)))),"MISSING OR INVALID N/A DECISION",IF(AND($Q108=1,OR($H108="Partially met",$H108="Unmet"),OR($K108&lt;1,$L108&lt;&gt;"Yes")),"KNOWN RATING NEEDS FRESH E1",IF(AND($Q108=1,$H108="Met",OR($K108&lt;VALUE(RIGHT($G108,1)),$L108&lt;&gt;"Yes")),"EVIDENCE BELOW MINIMUM",IF(AND($Q108=1,OR($H108="",$H108="Unknown")),"UNASSESSED",IF(AND($H108="N/A",AND($P108&lt;&gt;"",$O108&lt;&gt;"",IFERROR(VLOOKUP($O108,'Exceptions'!$A$5:$M$204,2,FALSE),"")="N/A determination",IFERROR(VLOOKUP($O108,'Exceptions'!$A$5:$M$204,13,FALSE),"")="Active",IFERROR(ISNUMBER(SEARCH($A108,IFERROR(VLOOKUP($O108,'Exceptions'!$A$5:$M$204,3,FALSE),""))),FALSE))),"N/A APPROVED",IF($O108&lt;&gt;"","EXCEPTION REVIEW","OK")))))))</x:f>
      </x:c>
    </x:row>
    <x:row r="109">
      <x:c r="H109" s="8"/>
      <x:c r="I109" t="str">
        <x:f>IF($A109="","",IF($H109="Met",1,IF($H109="Partially met",0.5,IF(OR($H109="Unmet",$H109="Unknown"),0,""))))</x:f>
      </x:c>
      <x:c r="J109" s="8"/>
      <x:c r="K109" t="str">
        <x:f>IF($A109="","",IF($J109="E4",4,IF($J109="E3",3,IF($J109="E2",2,IF($J109="E1",1,0)))))</x:f>
      </x:c>
      <x:c r="L109" s="8"/>
      <x:c r="M109" s="8"/>
      <x:c r="N109" s="8"/>
      <x:c r="O109" s="8"/>
      <x:c r="P109" s="8"/>
      <x:c r="Q109" t="str">
        <x:f>IF($A109="","",IF($D109="Baseline",1,IF($D109="Elevated",IF(OR('Profile'!$B$11="Elevated",'Profile'!$B$11="Critical"),1,0),IF($D109="Critical",IF('Profile'!$B$11="Critical",1,0),1))))</x:f>
      </x:c>
      <x:c r="R109" t="str">
        <x:f>IF($A109="","",IF($Q109=0,0,IF($H109="N/A",0,IF($H109="Met",IF(AND($K109&gt;=VALUE(RIGHT($G109,1)),$L109="Yes"),1,0),IF($H109="Partially met",IF(AND($K109&gt;=1,$L109="Yes"),0.5,0),0)))))</x:f>
      </x:c>
      <x:c r="S109" t="str">
        <x:f>IF($A109="","",IF($Q109=0,0,IF($H109="N/A",IF(AND($P109&lt;&gt;"",$O109&lt;&gt;"",IFERROR(VLOOKUP($O109,'Exceptions'!$A$5:$M$204,2,FALSE),"")="N/A determination",IFERROR(VLOOKUP($O109,'Exceptions'!$A$5:$M$204,13,FALSE),"")="Active",IFERROR(ISNUMBER(SEARCH($A109,IFERROR(VLOOKUP($O109,'Exceptions'!$A$5:$M$204,3,FALSE),""))),FALSE)),0,1),1)))</x:f>
      </x:c>
      <x:c r="T109" t="str">
        <x:f>IF($A109="","",IF($C109="","",IF($H109="N/A",IF(AND($P109&lt;&gt;"",$O109&lt;&gt;"",IFERROR(VLOOKUP($O109,'Exceptions'!$A$5:$M$204,2,FALSE),"")="N/A determination",IFERROR(VLOOKUP($O109,'Exceptions'!$A$5:$M$204,13,FALSE),"")="Active",IFERROR(ISNUMBER(SEARCH($A109,IFERROR(VLOOKUP($O109,'Exceptions'!$A$5:$M$204,3,FALSE),""))),FALSE)),"N/A","FAIL"),IF(OR($H109="Unknown",$H109="",$K109=0,$L109&lt;&gt;"Yes"),"UNKNOWN",IF($H109="Met",IF($K109&gt;=VALUE(RIGHT($G109,1)),"PASS","UNKNOWN"),IF(OR($H109="Partially met",$H109="Unmet"),"FAIL","UNKNOWN"))))))</x:f>
      </x:c>
      <x:c r="U109" t="str">
        <x:f>IF($A109="","",IF($S109=0,0,IF(AND($K109&gt;=1,$L109="Yes"),1,0)))</x:f>
      </x:c>
      <x:c r="V109" t="str">
        <x:f>IF($A109="","",IF(OR($S109=0,$H109="N/A",$L109&lt;&gt;"Yes"),0,$K109))</x:f>
      </x:c>
      <x:c r="AB109" t="str">
        <x:f>IF($A109="","",IF(AND($Q109=1,$H109="N/A",NOT(AND($P109&lt;&gt;"",$O109&lt;&gt;"",IFERROR(VLOOKUP($O109,'Exceptions'!$A$5:$M$204,2,FALSE),"")="N/A determination",IFERROR(VLOOKUP($O109,'Exceptions'!$A$5:$M$204,13,FALSE),"")="Active",IFERROR(ISNUMBER(SEARCH($A109,IFERROR(VLOOKUP($O109,'Exceptions'!$A$5:$M$204,3,FALSE),""))),FALSE)))),"MISSING OR INVALID N/A DECISION",IF(AND($Q109=1,OR($H109="Partially met",$H109="Unmet"),OR($K109&lt;1,$L109&lt;&gt;"Yes")),"KNOWN RATING NEEDS FRESH E1",IF(AND($Q109=1,$H109="Met",OR($K109&lt;VALUE(RIGHT($G109,1)),$L109&lt;&gt;"Yes")),"EVIDENCE BELOW MINIMUM",IF(AND($Q109=1,OR($H109="",$H109="Unknown")),"UNASSESSED",IF(AND($H109="N/A",AND($P109&lt;&gt;"",$O109&lt;&gt;"",IFERROR(VLOOKUP($O109,'Exceptions'!$A$5:$M$204,2,FALSE),"")="N/A determination",IFERROR(VLOOKUP($O109,'Exceptions'!$A$5:$M$204,13,FALSE),"")="Active",IFERROR(ISNUMBER(SEARCH($A109,IFERROR(VLOOKUP($O109,'Exceptions'!$A$5:$M$204,3,FALSE),""))),FALSE))),"N/A APPROVED",IF($O109&lt;&gt;"","EXCEPTION REVIEW","OK")))))))</x:f>
      </x:c>
    </x:row>
    <x:row r="110">
      <x:c r="H110" s="8"/>
      <x:c r="I110" t="str">
        <x:f>IF($A110="","",IF($H110="Met",1,IF($H110="Partially met",0.5,IF(OR($H110="Unmet",$H110="Unknown"),0,""))))</x:f>
      </x:c>
      <x:c r="J110" s="8"/>
      <x:c r="K110" t="str">
        <x:f>IF($A110="","",IF($J110="E4",4,IF($J110="E3",3,IF($J110="E2",2,IF($J110="E1",1,0)))))</x:f>
      </x:c>
      <x:c r="L110" s="8"/>
      <x:c r="M110" s="8"/>
      <x:c r="N110" s="8"/>
      <x:c r="O110" s="8"/>
      <x:c r="P110" s="8"/>
      <x:c r="Q110" t="str">
        <x:f>IF($A110="","",IF($D110="Baseline",1,IF($D110="Elevated",IF(OR('Profile'!$B$11="Elevated",'Profile'!$B$11="Critical"),1,0),IF($D110="Critical",IF('Profile'!$B$11="Critical",1,0),1))))</x:f>
      </x:c>
      <x:c r="R110" t="str">
        <x:f>IF($A110="","",IF($Q110=0,0,IF($H110="N/A",0,IF($H110="Met",IF(AND($K110&gt;=VALUE(RIGHT($G110,1)),$L110="Yes"),1,0),IF($H110="Partially met",IF(AND($K110&gt;=1,$L110="Yes"),0.5,0),0)))))</x:f>
      </x:c>
      <x:c r="S110" t="str">
        <x:f>IF($A110="","",IF($Q110=0,0,IF($H110="N/A",IF(AND($P110&lt;&gt;"",$O110&lt;&gt;"",IFERROR(VLOOKUP($O110,'Exceptions'!$A$5:$M$204,2,FALSE),"")="N/A determination",IFERROR(VLOOKUP($O110,'Exceptions'!$A$5:$M$204,13,FALSE),"")="Active",IFERROR(ISNUMBER(SEARCH($A110,IFERROR(VLOOKUP($O110,'Exceptions'!$A$5:$M$204,3,FALSE),""))),FALSE)),0,1),1)))</x:f>
      </x:c>
      <x:c r="T110" t="str">
        <x:f>IF($A110="","",IF($C110="","",IF($H110="N/A",IF(AND($P110&lt;&gt;"",$O110&lt;&gt;"",IFERROR(VLOOKUP($O110,'Exceptions'!$A$5:$M$204,2,FALSE),"")="N/A determination",IFERROR(VLOOKUP($O110,'Exceptions'!$A$5:$M$204,13,FALSE),"")="Active",IFERROR(ISNUMBER(SEARCH($A110,IFERROR(VLOOKUP($O110,'Exceptions'!$A$5:$M$204,3,FALSE),""))),FALSE)),"N/A","FAIL"),IF(OR($H110="Unknown",$H110="",$K110=0,$L110&lt;&gt;"Yes"),"UNKNOWN",IF($H110="Met",IF($K110&gt;=VALUE(RIGHT($G110,1)),"PASS","UNKNOWN"),IF(OR($H110="Partially met",$H110="Unmet"),"FAIL","UNKNOWN"))))))</x:f>
      </x:c>
      <x:c r="U110" t="str">
        <x:f>IF($A110="","",IF($S110=0,0,IF(AND($K110&gt;=1,$L110="Yes"),1,0)))</x:f>
      </x:c>
      <x:c r="V110" t="str">
        <x:f>IF($A110="","",IF(OR($S110=0,$H110="N/A",$L110&lt;&gt;"Yes"),0,$K110))</x:f>
      </x:c>
      <x:c r="AB110" t="str">
        <x:f>IF($A110="","",IF(AND($Q110=1,$H110="N/A",NOT(AND($P110&lt;&gt;"",$O110&lt;&gt;"",IFERROR(VLOOKUP($O110,'Exceptions'!$A$5:$M$204,2,FALSE),"")="N/A determination",IFERROR(VLOOKUP($O110,'Exceptions'!$A$5:$M$204,13,FALSE),"")="Active",IFERROR(ISNUMBER(SEARCH($A110,IFERROR(VLOOKUP($O110,'Exceptions'!$A$5:$M$204,3,FALSE),""))),FALSE)))),"MISSING OR INVALID N/A DECISION",IF(AND($Q110=1,OR($H110="Partially met",$H110="Unmet"),OR($K110&lt;1,$L110&lt;&gt;"Yes")),"KNOWN RATING NEEDS FRESH E1",IF(AND($Q110=1,$H110="Met",OR($K110&lt;VALUE(RIGHT($G110,1)),$L110&lt;&gt;"Yes")),"EVIDENCE BELOW MINIMUM",IF(AND($Q110=1,OR($H110="",$H110="Unknown")),"UNASSESSED",IF(AND($H110="N/A",AND($P110&lt;&gt;"",$O110&lt;&gt;"",IFERROR(VLOOKUP($O110,'Exceptions'!$A$5:$M$204,2,FALSE),"")="N/A determination",IFERROR(VLOOKUP($O110,'Exceptions'!$A$5:$M$204,13,FALSE),"")="Active",IFERROR(ISNUMBER(SEARCH($A110,IFERROR(VLOOKUP($O110,'Exceptions'!$A$5:$M$204,3,FALSE),""))),FALSE))),"N/A APPROVED",IF($O110&lt;&gt;"","EXCEPTION REVIEW","OK")))))))</x:f>
      </x:c>
    </x:row>
    <x:row r="111">
      <x:c r="H111" s="8"/>
      <x:c r="I111" t="str">
        <x:f>IF($A111="","",IF($H111="Met",1,IF($H111="Partially met",0.5,IF(OR($H111="Unmet",$H111="Unknown"),0,""))))</x:f>
      </x:c>
      <x:c r="J111" s="8"/>
      <x:c r="K111" t="str">
        <x:f>IF($A111="","",IF($J111="E4",4,IF($J111="E3",3,IF($J111="E2",2,IF($J111="E1",1,0)))))</x:f>
      </x:c>
      <x:c r="L111" s="8"/>
      <x:c r="M111" s="8"/>
      <x:c r="N111" s="8"/>
      <x:c r="O111" s="8"/>
      <x:c r="P111" s="8"/>
      <x:c r="Q111" t="str">
        <x:f>IF($A111="","",IF($D111="Baseline",1,IF($D111="Elevated",IF(OR('Profile'!$B$11="Elevated",'Profile'!$B$11="Critical"),1,0),IF($D111="Critical",IF('Profile'!$B$11="Critical",1,0),1))))</x:f>
      </x:c>
      <x:c r="R111" t="str">
        <x:f>IF($A111="","",IF($Q111=0,0,IF($H111="N/A",0,IF($H111="Met",IF(AND($K111&gt;=VALUE(RIGHT($G111,1)),$L111="Yes"),1,0),IF($H111="Partially met",IF(AND($K111&gt;=1,$L111="Yes"),0.5,0),0)))))</x:f>
      </x:c>
      <x:c r="S111" t="str">
        <x:f>IF($A111="","",IF($Q111=0,0,IF($H111="N/A",IF(AND($P111&lt;&gt;"",$O111&lt;&gt;"",IFERROR(VLOOKUP($O111,'Exceptions'!$A$5:$M$204,2,FALSE),"")="N/A determination",IFERROR(VLOOKUP($O111,'Exceptions'!$A$5:$M$204,13,FALSE),"")="Active",IFERROR(ISNUMBER(SEARCH($A111,IFERROR(VLOOKUP($O111,'Exceptions'!$A$5:$M$204,3,FALSE),""))),FALSE)),0,1),1)))</x:f>
      </x:c>
      <x:c r="T111" t="str">
        <x:f>IF($A111="","",IF($C111="","",IF($H111="N/A",IF(AND($P111&lt;&gt;"",$O111&lt;&gt;"",IFERROR(VLOOKUP($O111,'Exceptions'!$A$5:$M$204,2,FALSE),"")="N/A determination",IFERROR(VLOOKUP($O111,'Exceptions'!$A$5:$M$204,13,FALSE),"")="Active",IFERROR(ISNUMBER(SEARCH($A111,IFERROR(VLOOKUP($O111,'Exceptions'!$A$5:$M$204,3,FALSE),""))),FALSE)),"N/A","FAIL"),IF(OR($H111="Unknown",$H111="",$K111=0,$L111&lt;&gt;"Yes"),"UNKNOWN",IF($H111="Met",IF($K111&gt;=VALUE(RIGHT($G111,1)),"PASS","UNKNOWN"),IF(OR($H111="Partially met",$H111="Unmet"),"FAIL","UNKNOWN"))))))</x:f>
      </x:c>
      <x:c r="U111" t="str">
        <x:f>IF($A111="","",IF($S111=0,0,IF(AND($K111&gt;=1,$L111="Yes"),1,0)))</x:f>
      </x:c>
      <x:c r="V111" t="str">
        <x:f>IF($A111="","",IF(OR($S111=0,$H111="N/A",$L111&lt;&gt;"Yes"),0,$K111))</x:f>
      </x:c>
      <x:c r="AB111" t="str">
        <x:f>IF($A111="","",IF(AND($Q111=1,$H111="N/A",NOT(AND($P111&lt;&gt;"",$O111&lt;&gt;"",IFERROR(VLOOKUP($O111,'Exceptions'!$A$5:$M$204,2,FALSE),"")="N/A determination",IFERROR(VLOOKUP($O111,'Exceptions'!$A$5:$M$204,13,FALSE),"")="Active",IFERROR(ISNUMBER(SEARCH($A111,IFERROR(VLOOKUP($O111,'Exceptions'!$A$5:$M$204,3,FALSE),""))),FALSE)))),"MISSING OR INVALID N/A DECISION",IF(AND($Q111=1,OR($H111="Partially met",$H111="Unmet"),OR($K111&lt;1,$L111&lt;&gt;"Yes")),"KNOWN RATING NEEDS FRESH E1",IF(AND($Q111=1,$H111="Met",OR($K111&lt;VALUE(RIGHT($G111,1)),$L111&lt;&gt;"Yes")),"EVIDENCE BELOW MINIMUM",IF(AND($Q111=1,OR($H111="",$H111="Unknown")),"UNASSESSED",IF(AND($H111="N/A",AND($P111&lt;&gt;"",$O111&lt;&gt;"",IFERROR(VLOOKUP($O111,'Exceptions'!$A$5:$M$204,2,FALSE),"")="N/A determination",IFERROR(VLOOKUP($O111,'Exceptions'!$A$5:$M$204,13,FALSE),"")="Active",IFERROR(ISNUMBER(SEARCH($A111,IFERROR(VLOOKUP($O111,'Exceptions'!$A$5:$M$204,3,FALSE),""))),FALSE))),"N/A APPROVED",IF($O111&lt;&gt;"","EXCEPTION REVIEW","OK")))))))</x:f>
      </x:c>
    </x:row>
    <x:row r="112">
      <x:c r="H112" s="8"/>
      <x:c r="I112" t="str">
        <x:f>IF($A112="","",IF($H112="Met",1,IF($H112="Partially met",0.5,IF(OR($H112="Unmet",$H112="Unknown"),0,""))))</x:f>
      </x:c>
      <x:c r="J112" s="8"/>
      <x:c r="K112" t="str">
        <x:f>IF($A112="","",IF($J112="E4",4,IF($J112="E3",3,IF($J112="E2",2,IF($J112="E1",1,0)))))</x:f>
      </x:c>
      <x:c r="L112" s="8"/>
      <x:c r="M112" s="8"/>
      <x:c r="N112" s="8"/>
      <x:c r="O112" s="8"/>
      <x:c r="P112" s="8"/>
      <x:c r="Q112" t="str">
        <x:f>IF($A112="","",IF($D112="Baseline",1,IF($D112="Elevated",IF(OR('Profile'!$B$11="Elevated",'Profile'!$B$11="Critical"),1,0),IF($D112="Critical",IF('Profile'!$B$11="Critical",1,0),1))))</x:f>
      </x:c>
      <x:c r="R112" t="str">
        <x:f>IF($A112="","",IF($Q112=0,0,IF($H112="N/A",0,IF($H112="Met",IF(AND($K112&gt;=VALUE(RIGHT($G112,1)),$L112="Yes"),1,0),IF($H112="Partially met",IF(AND($K112&gt;=1,$L112="Yes"),0.5,0),0)))))</x:f>
      </x:c>
      <x:c r="S112" t="str">
        <x:f>IF($A112="","",IF($Q112=0,0,IF($H112="N/A",IF(AND($P112&lt;&gt;"",$O112&lt;&gt;"",IFERROR(VLOOKUP($O112,'Exceptions'!$A$5:$M$204,2,FALSE),"")="N/A determination",IFERROR(VLOOKUP($O112,'Exceptions'!$A$5:$M$204,13,FALSE),"")="Active",IFERROR(ISNUMBER(SEARCH($A112,IFERROR(VLOOKUP($O112,'Exceptions'!$A$5:$M$204,3,FALSE),""))),FALSE)),0,1),1)))</x:f>
      </x:c>
      <x:c r="T112" t="str">
        <x:f>IF($A112="","",IF($C112="","",IF($H112="N/A",IF(AND($P112&lt;&gt;"",$O112&lt;&gt;"",IFERROR(VLOOKUP($O112,'Exceptions'!$A$5:$M$204,2,FALSE),"")="N/A determination",IFERROR(VLOOKUP($O112,'Exceptions'!$A$5:$M$204,13,FALSE),"")="Active",IFERROR(ISNUMBER(SEARCH($A112,IFERROR(VLOOKUP($O112,'Exceptions'!$A$5:$M$204,3,FALSE),""))),FALSE)),"N/A","FAIL"),IF(OR($H112="Unknown",$H112="",$K112=0,$L112&lt;&gt;"Yes"),"UNKNOWN",IF($H112="Met",IF($K112&gt;=VALUE(RIGHT($G112,1)),"PASS","UNKNOWN"),IF(OR($H112="Partially met",$H112="Unmet"),"FAIL","UNKNOWN"))))))</x:f>
      </x:c>
      <x:c r="U112" t="str">
        <x:f>IF($A112="","",IF($S112=0,0,IF(AND($K112&gt;=1,$L112="Yes"),1,0)))</x:f>
      </x:c>
      <x:c r="V112" t="str">
        <x:f>IF($A112="","",IF(OR($S112=0,$H112="N/A",$L112&lt;&gt;"Yes"),0,$K112))</x:f>
      </x:c>
      <x:c r="AB112" t="str">
        <x:f>IF($A112="","",IF(AND($Q112=1,$H112="N/A",NOT(AND($P112&lt;&gt;"",$O112&lt;&gt;"",IFERROR(VLOOKUP($O112,'Exceptions'!$A$5:$M$204,2,FALSE),"")="N/A determination",IFERROR(VLOOKUP($O112,'Exceptions'!$A$5:$M$204,13,FALSE),"")="Active",IFERROR(ISNUMBER(SEARCH($A112,IFERROR(VLOOKUP($O112,'Exceptions'!$A$5:$M$204,3,FALSE),""))),FALSE)))),"MISSING OR INVALID N/A DECISION",IF(AND($Q112=1,OR($H112="Partially met",$H112="Unmet"),OR($K112&lt;1,$L112&lt;&gt;"Yes")),"KNOWN RATING NEEDS FRESH E1",IF(AND($Q112=1,$H112="Met",OR($K112&lt;VALUE(RIGHT($G112,1)),$L112&lt;&gt;"Yes")),"EVIDENCE BELOW MINIMUM",IF(AND($Q112=1,OR($H112="",$H112="Unknown")),"UNASSESSED",IF(AND($H112="N/A",AND($P112&lt;&gt;"",$O112&lt;&gt;"",IFERROR(VLOOKUP($O112,'Exceptions'!$A$5:$M$204,2,FALSE),"")="N/A determination",IFERROR(VLOOKUP($O112,'Exceptions'!$A$5:$M$204,13,FALSE),"")="Active",IFERROR(ISNUMBER(SEARCH($A112,IFERROR(VLOOKUP($O112,'Exceptions'!$A$5:$M$204,3,FALSE),""))),FALSE))),"N/A APPROVED",IF($O112&lt;&gt;"","EXCEPTION REVIEW","OK")))))))</x:f>
      </x:c>
    </x:row>
    <x:row r="113">
      <x:c r="H113" s="8"/>
      <x:c r="I113" t="str">
        <x:f>IF($A113="","",IF($H113="Met",1,IF($H113="Partially met",0.5,IF(OR($H113="Unmet",$H113="Unknown"),0,""))))</x:f>
      </x:c>
      <x:c r="J113" s="8"/>
      <x:c r="K113" t="str">
        <x:f>IF($A113="","",IF($J113="E4",4,IF($J113="E3",3,IF($J113="E2",2,IF($J113="E1",1,0)))))</x:f>
      </x:c>
      <x:c r="L113" s="8"/>
      <x:c r="M113" s="8"/>
      <x:c r="N113" s="8"/>
      <x:c r="O113" s="8"/>
      <x:c r="P113" s="8"/>
      <x:c r="Q113" t="str">
        <x:f>IF($A113="","",IF($D113="Baseline",1,IF($D113="Elevated",IF(OR('Profile'!$B$11="Elevated",'Profile'!$B$11="Critical"),1,0),IF($D113="Critical",IF('Profile'!$B$11="Critical",1,0),1))))</x:f>
      </x:c>
      <x:c r="R113" t="str">
        <x:f>IF($A113="","",IF($Q113=0,0,IF($H113="N/A",0,IF($H113="Met",IF(AND($K113&gt;=VALUE(RIGHT($G113,1)),$L113="Yes"),1,0),IF($H113="Partially met",IF(AND($K113&gt;=1,$L113="Yes"),0.5,0),0)))))</x:f>
      </x:c>
      <x:c r="S113" t="str">
        <x:f>IF($A113="","",IF($Q113=0,0,IF($H113="N/A",IF(AND($P113&lt;&gt;"",$O113&lt;&gt;"",IFERROR(VLOOKUP($O113,'Exceptions'!$A$5:$M$204,2,FALSE),"")="N/A determination",IFERROR(VLOOKUP($O113,'Exceptions'!$A$5:$M$204,13,FALSE),"")="Active",IFERROR(ISNUMBER(SEARCH($A113,IFERROR(VLOOKUP($O113,'Exceptions'!$A$5:$M$204,3,FALSE),""))),FALSE)),0,1),1)))</x:f>
      </x:c>
      <x:c r="T113" t="str">
        <x:f>IF($A113="","",IF($C113="","",IF($H113="N/A",IF(AND($P113&lt;&gt;"",$O113&lt;&gt;"",IFERROR(VLOOKUP($O113,'Exceptions'!$A$5:$M$204,2,FALSE),"")="N/A determination",IFERROR(VLOOKUP($O113,'Exceptions'!$A$5:$M$204,13,FALSE),"")="Active",IFERROR(ISNUMBER(SEARCH($A113,IFERROR(VLOOKUP($O113,'Exceptions'!$A$5:$M$204,3,FALSE),""))),FALSE)),"N/A","FAIL"),IF(OR($H113="Unknown",$H113="",$K113=0,$L113&lt;&gt;"Yes"),"UNKNOWN",IF($H113="Met",IF($K113&gt;=VALUE(RIGHT($G113,1)),"PASS","UNKNOWN"),IF(OR($H113="Partially met",$H113="Unmet"),"FAIL","UNKNOWN"))))))</x:f>
      </x:c>
      <x:c r="U113" t="str">
        <x:f>IF($A113="","",IF($S113=0,0,IF(AND($K113&gt;=1,$L113="Yes"),1,0)))</x:f>
      </x:c>
      <x:c r="V113" t="str">
        <x:f>IF($A113="","",IF(OR($S113=0,$H113="N/A",$L113&lt;&gt;"Yes"),0,$K113))</x:f>
      </x:c>
      <x:c r="AB113" t="str">
        <x:f>IF($A113="","",IF(AND($Q113=1,$H113="N/A",NOT(AND($P113&lt;&gt;"",$O113&lt;&gt;"",IFERROR(VLOOKUP($O113,'Exceptions'!$A$5:$M$204,2,FALSE),"")="N/A determination",IFERROR(VLOOKUP($O113,'Exceptions'!$A$5:$M$204,13,FALSE),"")="Active",IFERROR(ISNUMBER(SEARCH($A113,IFERROR(VLOOKUP($O113,'Exceptions'!$A$5:$M$204,3,FALSE),""))),FALSE)))),"MISSING OR INVALID N/A DECISION",IF(AND($Q113=1,OR($H113="Partially met",$H113="Unmet"),OR($K113&lt;1,$L113&lt;&gt;"Yes")),"KNOWN RATING NEEDS FRESH E1",IF(AND($Q113=1,$H113="Met",OR($K113&lt;VALUE(RIGHT($G113,1)),$L113&lt;&gt;"Yes")),"EVIDENCE BELOW MINIMUM",IF(AND($Q113=1,OR($H113="",$H113="Unknown")),"UNASSESSED",IF(AND($H113="N/A",AND($P113&lt;&gt;"",$O113&lt;&gt;"",IFERROR(VLOOKUP($O113,'Exceptions'!$A$5:$M$204,2,FALSE),"")="N/A determination",IFERROR(VLOOKUP($O113,'Exceptions'!$A$5:$M$204,13,FALSE),"")="Active",IFERROR(ISNUMBER(SEARCH($A113,IFERROR(VLOOKUP($O113,'Exceptions'!$A$5:$M$204,3,FALSE),""))),FALSE))),"N/A APPROVED",IF($O113&lt;&gt;"","EXCEPTION REVIEW","OK")))))))</x:f>
      </x:c>
    </x:row>
    <x:row r="114">
      <x:c r="H114" s="8"/>
      <x:c r="I114" t="str">
        <x:f>IF($A114="","",IF($H114="Met",1,IF($H114="Partially met",0.5,IF(OR($H114="Unmet",$H114="Unknown"),0,""))))</x:f>
      </x:c>
      <x:c r="J114" s="8"/>
      <x:c r="K114" t="str">
        <x:f>IF($A114="","",IF($J114="E4",4,IF($J114="E3",3,IF($J114="E2",2,IF($J114="E1",1,0)))))</x:f>
      </x:c>
      <x:c r="L114" s="8"/>
      <x:c r="M114" s="8"/>
      <x:c r="N114" s="8"/>
      <x:c r="O114" s="8"/>
      <x:c r="P114" s="8"/>
      <x:c r="Q114" t="str">
        <x:f>IF($A114="","",IF($D114="Baseline",1,IF($D114="Elevated",IF(OR('Profile'!$B$11="Elevated",'Profile'!$B$11="Critical"),1,0),IF($D114="Critical",IF('Profile'!$B$11="Critical",1,0),1))))</x:f>
      </x:c>
      <x:c r="R114" t="str">
        <x:f>IF($A114="","",IF($Q114=0,0,IF($H114="N/A",0,IF($H114="Met",IF(AND($K114&gt;=VALUE(RIGHT($G114,1)),$L114="Yes"),1,0),IF($H114="Partially met",IF(AND($K114&gt;=1,$L114="Yes"),0.5,0),0)))))</x:f>
      </x:c>
      <x:c r="S114" t="str">
        <x:f>IF($A114="","",IF($Q114=0,0,IF($H114="N/A",IF(AND($P114&lt;&gt;"",$O114&lt;&gt;"",IFERROR(VLOOKUP($O114,'Exceptions'!$A$5:$M$204,2,FALSE),"")="N/A determination",IFERROR(VLOOKUP($O114,'Exceptions'!$A$5:$M$204,13,FALSE),"")="Active",IFERROR(ISNUMBER(SEARCH($A114,IFERROR(VLOOKUP($O114,'Exceptions'!$A$5:$M$204,3,FALSE),""))),FALSE)),0,1),1)))</x:f>
      </x:c>
      <x:c r="T114" t="str">
        <x:f>IF($A114="","",IF($C114="","",IF($H114="N/A",IF(AND($P114&lt;&gt;"",$O114&lt;&gt;"",IFERROR(VLOOKUP($O114,'Exceptions'!$A$5:$M$204,2,FALSE),"")="N/A determination",IFERROR(VLOOKUP($O114,'Exceptions'!$A$5:$M$204,13,FALSE),"")="Active",IFERROR(ISNUMBER(SEARCH($A114,IFERROR(VLOOKUP($O114,'Exceptions'!$A$5:$M$204,3,FALSE),""))),FALSE)),"N/A","FAIL"),IF(OR($H114="Unknown",$H114="",$K114=0,$L114&lt;&gt;"Yes"),"UNKNOWN",IF($H114="Met",IF($K114&gt;=VALUE(RIGHT($G114,1)),"PASS","UNKNOWN"),IF(OR($H114="Partially met",$H114="Unmet"),"FAIL","UNKNOWN"))))))</x:f>
      </x:c>
      <x:c r="U114" t="str">
        <x:f>IF($A114="","",IF($S114=0,0,IF(AND($K114&gt;=1,$L114="Yes"),1,0)))</x:f>
      </x:c>
      <x:c r="V114" t="str">
        <x:f>IF($A114="","",IF(OR($S114=0,$H114="N/A",$L114&lt;&gt;"Yes"),0,$K114))</x:f>
      </x:c>
      <x:c r="AB114" t="str">
        <x:f>IF($A114="","",IF(AND($Q114=1,$H114="N/A",NOT(AND($P114&lt;&gt;"",$O114&lt;&gt;"",IFERROR(VLOOKUP($O114,'Exceptions'!$A$5:$M$204,2,FALSE),"")="N/A determination",IFERROR(VLOOKUP($O114,'Exceptions'!$A$5:$M$204,13,FALSE),"")="Active",IFERROR(ISNUMBER(SEARCH($A114,IFERROR(VLOOKUP($O114,'Exceptions'!$A$5:$M$204,3,FALSE),""))),FALSE)))),"MISSING OR INVALID N/A DECISION",IF(AND($Q114=1,OR($H114="Partially met",$H114="Unmet"),OR($K114&lt;1,$L114&lt;&gt;"Yes")),"KNOWN RATING NEEDS FRESH E1",IF(AND($Q114=1,$H114="Met",OR($K114&lt;VALUE(RIGHT($G114,1)),$L114&lt;&gt;"Yes")),"EVIDENCE BELOW MINIMUM",IF(AND($Q114=1,OR($H114="",$H114="Unknown")),"UNASSESSED",IF(AND($H114="N/A",AND($P114&lt;&gt;"",$O114&lt;&gt;"",IFERROR(VLOOKUP($O114,'Exceptions'!$A$5:$M$204,2,FALSE),"")="N/A determination",IFERROR(VLOOKUP($O114,'Exceptions'!$A$5:$M$204,13,FALSE),"")="Active",IFERROR(ISNUMBER(SEARCH($A114,IFERROR(VLOOKUP($O114,'Exceptions'!$A$5:$M$204,3,FALSE),""))),FALSE))),"N/A APPROVED",IF($O114&lt;&gt;"","EXCEPTION REVIEW","OK")))))))</x:f>
      </x:c>
    </x:row>
    <x:row r="115">
      <x:c r="H115" s="8"/>
      <x:c r="I115" t="str">
        <x:f>IF($A115="","",IF($H115="Met",1,IF($H115="Partially met",0.5,IF(OR($H115="Unmet",$H115="Unknown"),0,""))))</x:f>
      </x:c>
      <x:c r="J115" s="8"/>
      <x:c r="K115" t="str">
        <x:f>IF($A115="","",IF($J115="E4",4,IF($J115="E3",3,IF($J115="E2",2,IF($J115="E1",1,0)))))</x:f>
      </x:c>
      <x:c r="L115" s="8"/>
      <x:c r="M115" s="8"/>
      <x:c r="N115" s="8"/>
      <x:c r="O115" s="8"/>
      <x:c r="P115" s="8"/>
      <x:c r="Q115" t="str">
        <x:f>IF($A115="","",IF($D115="Baseline",1,IF($D115="Elevated",IF(OR('Profile'!$B$11="Elevated",'Profile'!$B$11="Critical"),1,0),IF($D115="Critical",IF('Profile'!$B$11="Critical",1,0),1))))</x:f>
      </x:c>
      <x:c r="R115" t="str">
        <x:f>IF($A115="","",IF($Q115=0,0,IF($H115="N/A",0,IF($H115="Met",IF(AND($K115&gt;=VALUE(RIGHT($G115,1)),$L115="Yes"),1,0),IF($H115="Partially met",IF(AND($K115&gt;=1,$L115="Yes"),0.5,0),0)))))</x:f>
      </x:c>
      <x:c r="S115" t="str">
        <x:f>IF($A115="","",IF($Q115=0,0,IF($H115="N/A",IF(AND($P115&lt;&gt;"",$O115&lt;&gt;"",IFERROR(VLOOKUP($O115,'Exceptions'!$A$5:$M$204,2,FALSE),"")="N/A determination",IFERROR(VLOOKUP($O115,'Exceptions'!$A$5:$M$204,13,FALSE),"")="Active",IFERROR(ISNUMBER(SEARCH($A115,IFERROR(VLOOKUP($O115,'Exceptions'!$A$5:$M$204,3,FALSE),""))),FALSE)),0,1),1)))</x:f>
      </x:c>
      <x:c r="T115" t="str">
        <x:f>IF($A115="","",IF($C115="","",IF($H115="N/A",IF(AND($P115&lt;&gt;"",$O115&lt;&gt;"",IFERROR(VLOOKUP($O115,'Exceptions'!$A$5:$M$204,2,FALSE),"")="N/A determination",IFERROR(VLOOKUP($O115,'Exceptions'!$A$5:$M$204,13,FALSE),"")="Active",IFERROR(ISNUMBER(SEARCH($A115,IFERROR(VLOOKUP($O115,'Exceptions'!$A$5:$M$204,3,FALSE),""))),FALSE)),"N/A","FAIL"),IF(OR($H115="Unknown",$H115="",$K115=0,$L115&lt;&gt;"Yes"),"UNKNOWN",IF($H115="Met",IF($K115&gt;=VALUE(RIGHT($G115,1)),"PASS","UNKNOWN"),IF(OR($H115="Partially met",$H115="Unmet"),"FAIL","UNKNOWN"))))))</x:f>
      </x:c>
      <x:c r="U115" t="str">
        <x:f>IF($A115="","",IF($S115=0,0,IF(AND($K115&gt;=1,$L115="Yes"),1,0)))</x:f>
      </x:c>
      <x:c r="V115" t="str">
        <x:f>IF($A115="","",IF(OR($S115=0,$H115="N/A",$L115&lt;&gt;"Yes"),0,$K115))</x:f>
      </x:c>
      <x:c r="AB115" t="str">
        <x:f>IF($A115="","",IF(AND($Q115=1,$H115="N/A",NOT(AND($P115&lt;&gt;"",$O115&lt;&gt;"",IFERROR(VLOOKUP($O115,'Exceptions'!$A$5:$M$204,2,FALSE),"")="N/A determination",IFERROR(VLOOKUP($O115,'Exceptions'!$A$5:$M$204,13,FALSE),"")="Active",IFERROR(ISNUMBER(SEARCH($A115,IFERROR(VLOOKUP($O115,'Exceptions'!$A$5:$M$204,3,FALSE),""))),FALSE)))),"MISSING OR INVALID N/A DECISION",IF(AND($Q115=1,OR($H115="Partially met",$H115="Unmet"),OR($K115&lt;1,$L115&lt;&gt;"Yes")),"KNOWN RATING NEEDS FRESH E1",IF(AND($Q115=1,$H115="Met",OR($K115&lt;VALUE(RIGHT($G115,1)),$L115&lt;&gt;"Yes")),"EVIDENCE BELOW MINIMUM",IF(AND($Q115=1,OR($H115="",$H115="Unknown")),"UNASSESSED",IF(AND($H115="N/A",AND($P115&lt;&gt;"",$O115&lt;&gt;"",IFERROR(VLOOKUP($O115,'Exceptions'!$A$5:$M$204,2,FALSE),"")="N/A determination",IFERROR(VLOOKUP($O115,'Exceptions'!$A$5:$M$204,13,FALSE),"")="Active",IFERROR(ISNUMBER(SEARCH($A115,IFERROR(VLOOKUP($O115,'Exceptions'!$A$5:$M$204,3,FALSE),""))),FALSE))),"N/A APPROVED",IF($O115&lt;&gt;"","EXCEPTION REVIEW","OK")))))))</x:f>
      </x:c>
    </x:row>
    <x:row r="116">
      <x:c r="H116" s="8"/>
      <x:c r="I116" t="str">
        <x:f>IF($A116="","",IF($H116="Met",1,IF($H116="Partially met",0.5,IF(OR($H116="Unmet",$H116="Unknown"),0,""))))</x:f>
      </x:c>
      <x:c r="J116" s="8"/>
      <x:c r="K116" t="str">
        <x:f>IF($A116="","",IF($J116="E4",4,IF($J116="E3",3,IF($J116="E2",2,IF($J116="E1",1,0)))))</x:f>
      </x:c>
      <x:c r="L116" s="8"/>
      <x:c r="M116" s="8"/>
      <x:c r="N116" s="8"/>
      <x:c r="O116" s="8"/>
      <x:c r="P116" s="8"/>
      <x:c r="Q116" t="str">
        <x:f>IF($A116="","",IF($D116="Baseline",1,IF($D116="Elevated",IF(OR('Profile'!$B$11="Elevated",'Profile'!$B$11="Critical"),1,0),IF($D116="Critical",IF('Profile'!$B$11="Critical",1,0),1))))</x:f>
      </x:c>
      <x:c r="R116" t="str">
        <x:f>IF($A116="","",IF($Q116=0,0,IF($H116="N/A",0,IF($H116="Met",IF(AND($K116&gt;=VALUE(RIGHT($G116,1)),$L116="Yes"),1,0),IF($H116="Partially met",IF(AND($K116&gt;=1,$L116="Yes"),0.5,0),0)))))</x:f>
      </x:c>
      <x:c r="S116" t="str">
        <x:f>IF($A116="","",IF($Q116=0,0,IF($H116="N/A",IF(AND($P116&lt;&gt;"",$O116&lt;&gt;"",IFERROR(VLOOKUP($O116,'Exceptions'!$A$5:$M$204,2,FALSE),"")="N/A determination",IFERROR(VLOOKUP($O116,'Exceptions'!$A$5:$M$204,13,FALSE),"")="Active",IFERROR(ISNUMBER(SEARCH($A116,IFERROR(VLOOKUP($O116,'Exceptions'!$A$5:$M$204,3,FALSE),""))),FALSE)),0,1),1)))</x:f>
      </x:c>
      <x:c r="T116" t="str">
        <x:f>IF($A116="","",IF($C116="","",IF($H116="N/A",IF(AND($P116&lt;&gt;"",$O116&lt;&gt;"",IFERROR(VLOOKUP($O116,'Exceptions'!$A$5:$M$204,2,FALSE),"")="N/A determination",IFERROR(VLOOKUP($O116,'Exceptions'!$A$5:$M$204,13,FALSE),"")="Active",IFERROR(ISNUMBER(SEARCH($A116,IFERROR(VLOOKUP($O116,'Exceptions'!$A$5:$M$204,3,FALSE),""))),FALSE)),"N/A","FAIL"),IF(OR($H116="Unknown",$H116="",$K116=0,$L116&lt;&gt;"Yes"),"UNKNOWN",IF($H116="Met",IF($K116&gt;=VALUE(RIGHT($G116,1)),"PASS","UNKNOWN"),IF(OR($H116="Partially met",$H116="Unmet"),"FAIL","UNKNOWN"))))))</x:f>
      </x:c>
      <x:c r="U116" t="str">
        <x:f>IF($A116="","",IF($S116=0,0,IF(AND($K116&gt;=1,$L116="Yes"),1,0)))</x:f>
      </x:c>
      <x:c r="V116" t="str">
        <x:f>IF($A116="","",IF(OR($S116=0,$H116="N/A",$L116&lt;&gt;"Yes"),0,$K116))</x:f>
      </x:c>
      <x:c r="AB116" t="str">
        <x:f>IF($A116="","",IF(AND($Q116=1,$H116="N/A",NOT(AND($P116&lt;&gt;"",$O116&lt;&gt;"",IFERROR(VLOOKUP($O116,'Exceptions'!$A$5:$M$204,2,FALSE),"")="N/A determination",IFERROR(VLOOKUP($O116,'Exceptions'!$A$5:$M$204,13,FALSE),"")="Active",IFERROR(ISNUMBER(SEARCH($A116,IFERROR(VLOOKUP($O116,'Exceptions'!$A$5:$M$204,3,FALSE),""))),FALSE)))),"MISSING OR INVALID N/A DECISION",IF(AND($Q116=1,OR($H116="Partially met",$H116="Unmet"),OR($K116&lt;1,$L116&lt;&gt;"Yes")),"KNOWN RATING NEEDS FRESH E1",IF(AND($Q116=1,$H116="Met",OR($K116&lt;VALUE(RIGHT($G116,1)),$L116&lt;&gt;"Yes")),"EVIDENCE BELOW MINIMUM",IF(AND($Q116=1,OR($H116="",$H116="Unknown")),"UNASSESSED",IF(AND($H116="N/A",AND($P116&lt;&gt;"",$O116&lt;&gt;"",IFERROR(VLOOKUP($O116,'Exceptions'!$A$5:$M$204,2,FALSE),"")="N/A determination",IFERROR(VLOOKUP($O116,'Exceptions'!$A$5:$M$204,13,FALSE),"")="Active",IFERROR(ISNUMBER(SEARCH($A116,IFERROR(VLOOKUP($O116,'Exceptions'!$A$5:$M$204,3,FALSE),""))),FALSE))),"N/A APPROVED",IF($O116&lt;&gt;"","EXCEPTION REVIEW","OK")))))))</x:f>
      </x:c>
    </x:row>
    <x:row r="117">
      <x:c r="H117" s="8"/>
      <x:c r="I117" t="str">
        <x:f>IF($A117="","",IF($H117="Met",1,IF($H117="Partially met",0.5,IF(OR($H117="Unmet",$H117="Unknown"),0,""))))</x:f>
      </x:c>
      <x:c r="J117" s="8"/>
      <x:c r="K117" t="str">
        <x:f>IF($A117="","",IF($J117="E4",4,IF($J117="E3",3,IF($J117="E2",2,IF($J117="E1",1,0)))))</x:f>
      </x:c>
      <x:c r="L117" s="8"/>
      <x:c r="M117" s="8"/>
      <x:c r="N117" s="8"/>
      <x:c r="O117" s="8"/>
      <x:c r="P117" s="8"/>
      <x:c r="Q117" t="str">
        <x:f>IF($A117="","",IF($D117="Baseline",1,IF($D117="Elevated",IF(OR('Profile'!$B$11="Elevated",'Profile'!$B$11="Critical"),1,0),IF($D117="Critical",IF('Profile'!$B$11="Critical",1,0),1))))</x:f>
      </x:c>
      <x:c r="R117" t="str">
        <x:f>IF($A117="","",IF($Q117=0,0,IF($H117="N/A",0,IF($H117="Met",IF(AND($K117&gt;=VALUE(RIGHT($G117,1)),$L117="Yes"),1,0),IF($H117="Partially met",IF(AND($K117&gt;=1,$L117="Yes"),0.5,0),0)))))</x:f>
      </x:c>
      <x:c r="S117" t="str">
        <x:f>IF($A117="","",IF($Q117=0,0,IF($H117="N/A",IF(AND($P117&lt;&gt;"",$O117&lt;&gt;"",IFERROR(VLOOKUP($O117,'Exceptions'!$A$5:$M$204,2,FALSE),"")="N/A determination",IFERROR(VLOOKUP($O117,'Exceptions'!$A$5:$M$204,13,FALSE),"")="Active",IFERROR(ISNUMBER(SEARCH($A117,IFERROR(VLOOKUP($O117,'Exceptions'!$A$5:$M$204,3,FALSE),""))),FALSE)),0,1),1)))</x:f>
      </x:c>
      <x:c r="T117" t="str">
        <x:f>IF($A117="","",IF($C117="","",IF($H117="N/A",IF(AND($P117&lt;&gt;"",$O117&lt;&gt;"",IFERROR(VLOOKUP($O117,'Exceptions'!$A$5:$M$204,2,FALSE),"")="N/A determination",IFERROR(VLOOKUP($O117,'Exceptions'!$A$5:$M$204,13,FALSE),"")="Active",IFERROR(ISNUMBER(SEARCH($A117,IFERROR(VLOOKUP($O117,'Exceptions'!$A$5:$M$204,3,FALSE),""))),FALSE)),"N/A","FAIL"),IF(OR($H117="Unknown",$H117="",$K117=0,$L117&lt;&gt;"Yes"),"UNKNOWN",IF($H117="Met",IF($K117&gt;=VALUE(RIGHT($G117,1)),"PASS","UNKNOWN"),IF(OR($H117="Partially met",$H117="Unmet"),"FAIL","UNKNOWN"))))))</x:f>
      </x:c>
      <x:c r="U117" t="str">
        <x:f>IF($A117="","",IF($S117=0,0,IF(AND($K117&gt;=1,$L117="Yes"),1,0)))</x:f>
      </x:c>
      <x:c r="V117" t="str">
        <x:f>IF($A117="","",IF(OR($S117=0,$H117="N/A",$L117&lt;&gt;"Yes"),0,$K117))</x:f>
      </x:c>
      <x:c r="AB117" t="str">
        <x:f>IF($A117="","",IF(AND($Q117=1,$H117="N/A",NOT(AND($P117&lt;&gt;"",$O117&lt;&gt;"",IFERROR(VLOOKUP($O117,'Exceptions'!$A$5:$M$204,2,FALSE),"")="N/A determination",IFERROR(VLOOKUP($O117,'Exceptions'!$A$5:$M$204,13,FALSE),"")="Active",IFERROR(ISNUMBER(SEARCH($A117,IFERROR(VLOOKUP($O117,'Exceptions'!$A$5:$M$204,3,FALSE),""))),FALSE)))),"MISSING OR INVALID N/A DECISION",IF(AND($Q117=1,OR($H117="Partially met",$H117="Unmet"),OR($K117&lt;1,$L117&lt;&gt;"Yes")),"KNOWN RATING NEEDS FRESH E1",IF(AND($Q117=1,$H117="Met",OR($K117&lt;VALUE(RIGHT($G117,1)),$L117&lt;&gt;"Yes")),"EVIDENCE BELOW MINIMUM",IF(AND($Q117=1,OR($H117="",$H117="Unknown")),"UNASSESSED",IF(AND($H117="N/A",AND($P117&lt;&gt;"",$O117&lt;&gt;"",IFERROR(VLOOKUP($O117,'Exceptions'!$A$5:$M$204,2,FALSE),"")="N/A determination",IFERROR(VLOOKUP($O117,'Exceptions'!$A$5:$M$204,13,FALSE),"")="Active",IFERROR(ISNUMBER(SEARCH($A117,IFERROR(VLOOKUP($O117,'Exceptions'!$A$5:$M$204,3,FALSE),""))),FALSE))),"N/A APPROVED",IF($O117&lt;&gt;"","EXCEPTION REVIEW","OK")))))))</x:f>
      </x:c>
    </x:row>
    <x:row r="118">
      <x:c r="H118" s="8"/>
      <x:c r="I118" t="str">
        <x:f>IF($A118="","",IF($H118="Met",1,IF($H118="Partially met",0.5,IF(OR($H118="Unmet",$H118="Unknown"),0,""))))</x:f>
      </x:c>
      <x:c r="J118" s="8"/>
      <x:c r="K118" t="str">
        <x:f>IF($A118="","",IF($J118="E4",4,IF($J118="E3",3,IF($J118="E2",2,IF($J118="E1",1,0)))))</x:f>
      </x:c>
      <x:c r="L118" s="8"/>
      <x:c r="M118" s="8"/>
      <x:c r="N118" s="8"/>
      <x:c r="O118" s="8"/>
      <x:c r="P118" s="8"/>
      <x:c r="Q118" t="str">
        <x:f>IF($A118="","",IF($D118="Baseline",1,IF($D118="Elevated",IF(OR('Profile'!$B$11="Elevated",'Profile'!$B$11="Critical"),1,0),IF($D118="Critical",IF('Profile'!$B$11="Critical",1,0),1))))</x:f>
      </x:c>
      <x:c r="R118" t="str">
        <x:f>IF($A118="","",IF($Q118=0,0,IF($H118="N/A",0,IF($H118="Met",IF(AND($K118&gt;=VALUE(RIGHT($G118,1)),$L118="Yes"),1,0),IF($H118="Partially met",IF(AND($K118&gt;=1,$L118="Yes"),0.5,0),0)))))</x:f>
      </x:c>
      <x:c r="S118" t="str">
        <x:f>IF($A118="","",IF($Q118=0,0,IF($H118="N/A",IF(AND($P118&lt;&gt;"",$O118&lt;&gt;"",IFERROR(VLOOKUP($O118,'Exceptions'!$A$5:$M$204,2,FALSE),"")="N/A determination",IFERROR(VLOOKUP($O118,'Exceptions'!$A$5:$M$204,13,FALSE),"")="Active",IFERROR(ISNUMBER(SEARCH($A118,IFERROR(VLOOKUP($O118,'Exceptions'!$A$5:$M$204,3,FALSE),""))),FALSE)),0,1),1)))</x:f>
      </x:c>
      <x:c r="T118" t="str">
        <x:f>IF($A118="","",IF($C118="","",IF($H118="N/A",IF(AND($P118&lt;&gt;"",$O118&lt;&gt;"",IFERROR(VLOOKUP($O118,'Exceptions'!$A$5:$M$204,2,FALSE),"")="N/A determination",IFERROR(VLOOKUP($O118,'Exceptions'!$A$5:$M$204,13,FALSE),"")="Active",IFERROR(ISNUMBER(SEARCH($A118,IFERROR(VLOOKUP($O118,'Exceptions'!$A$5:$M$204,3,FALSE),""))),FALSE)),"N/A","FAIL"),IF(OR($H118="Unknown",$H118="",$K118=0,$L118&lt;&gt;"Yes"),"UNKNOWN",IF($H118="Met",IF($K118&gt;=VALUE(RIGHT($G118,1)),"PASS","UNKNOWN"),IF(OR($H118="Partially met",$H118="Unmet"),"FAIL","UNKNOWN"))))))</x:f>
      </x:c>
      <x:c r="U118" t="str">
        <x:f>IF($A118="","",IF($S118=0,0,IF(AND($K118&gt;=1,$L118="Yes"),1,0)))</x:f>
      </x:c>
      <x:c r="V118" t="str">
        <x:f>IF($A118="","",IF(OR($S118=0,$H118="N/A",$L118&lt;&gt;"Yes"),0,$K118))</x:f>
      </x:c>
      <x:c r="AB118" t="str">
        <x:f>IF($A118="","",IF(AND($Q118=1,$H118="N/A",NOT(AND($P118&lt;&gt;"",$O118&lt;&gt;"",IFERROR(VLOOKUP($O118,'Exceptions'!$A$5:$M$204,2,FALSE),"")="N/A determination",IFERROR(VLOOKUP($O118,'Exceptions'!$A$5:$M$204,13,FALSE),"")="Active",IFERROR(ISNUMBER(SEARCH($A118,IFERROR(VLOOKUP($O118,'Exceptions'!$A$5:$M$204,3,FALSE),""))),FALSE)))),"MISSING OR INVALID N/A DECISION",IF(AND($Q118=1,OR($H118="Partially met",$H118="Unmet"),OR($K118&lt;1,$L118&lt;&gt;"Yes")),"KNOWN RATING NEEDS FRESH E1",IF(AND($Q118=1,$H118="Met",OR($K118&lt;VALUE(RIGHT($G118,1)),$L118&lt;&gt;"Yes")),"EVIDENCE BELOW MINIMUM",IF(AND($Q118=1,OR($H118="",$H118="Unknown")),"UNASSESSED",IF(AND($H118="N/A",AND($P118&lt;&gt;"",$O118&lt;&gt;"",IFERROR(VLOOKUP($O118,'Exceptions'!$A$5:$M$204,2,FALSE),"")="N/A determination",IFERROR(VLOOKUP($O118,'Exceptions'!$A$5:$M$204,13,FALSE),"")="Active",IFERROR(ISNUMBER(SEARCH($A118,IFERROR(VLOOKUP($O118,'Exceptions'!$A$5:$M$204,3,FALSE),""))),FALSE))),"N/A APPROVED",IF($O118&lt;&gt;"","EXCEPTION REVIEW","OK")))))))</x:f>
      </x:c>
    </x:row>
    <x:row r="119">
      <x:c r="H119" s="8"/>
      <x:c r="I119" t="str">
        <x:f>IF($A119="","",IF($H119="Met",1,IF($H119="Partially met",0.5,IF(OR($H119="Unmet",$H119="Unknown"),0,""))))</x:f>
      </x:c>
      <x:c r="J119" s="8"/>
      <x:c r="K119" t="str">
        <x:f>IF($A119="","",IF($J119="E4",4,IF($J119="E3",3,IF($J119="E2",2,IF($J119="E1",1,0)))))</x:f>
      </x:c>
      <x:c r="L119" s="8"/>
      <x:c r="M119" s="8"/>
      <x:c r="N119" s="8"/>
      <x:c r="O119" s="8"/>
      <x:c r="P119" s="8"/>
      <x:c r="Q119" t="str">
        <x:f>IF($A119="","",IF($D119="Baseline",1,IF($D119="Elevated",IF(OR('Profile'!$B$11="Elevated",'Profile'!$B$11="Critical"),1,0),IF($D119="Critical",IF('Profile'!$B$11="Critical",1,0),1))))</x:f>
      </x:c>
      <x:c r="R119" t="str">
        <x:f>IF($A119="","",IF($Q119=0,0,IF($H119="N/A",0,IF($H119="Met",IF(AND($K119&gt;=VALUE(RIGHT($G119,1)),$L119="Yes"),1,0),IF($H119="Partially met",IF(AND($K119&gt;=1,$L119="Yes"),0.5,0),0)))))</x:f>
      </x:c>
      <x:c r="S119" t="str">
        <x:f>IF($A119="","",IF($Q119=0,0,IF($H119="N/A",IF(AND($P119&lt;&gt;"",$O119&lt;&gt;"",IFERROR(VLOOKUP($O119,'Exceptions'!$A$5:$M$204,2,FALSE),"")="N/A determination",IFERROR(VLOOKUP($O119,'Exceptions'!$A$5:$M$204,13,FALSE),"")="Active",IFERROR(ISNUMBER(SEARCH($A119,IFERROR(VLOOKUP($O119,'Exceptions'!$A$5:$M$204,3,FALSE),""))),FALSE)),0,1),1)))</x:f>
      </x:c>
      <x:c r="T119" t="str">
        <x:f>IF($A119="","",IF($C119="","",IF($H119="N/A",IF(AND($P119&lt;&gt;"",$O119&lt;&gt;"",IFERROR(VLOOKUP($O119,'Exceptions'!$A$5:$M$204,2,FALSE),"")="N/A determination",IFERROR(VLOOKUP($O119,'Exceptions'!$A$5:$M$204,13,FALSE),"")="Active",IFERROR(ISNUMBER(SEARCH($A119,IFERROR(VLOOKUP($O119,'Exceptions'!$A$5:$M$204,3,FALSE),""))),FALSE)),"N/A","FAIL"),IF(OR($H119="Unknown",$H119="",$K119=0,$L119&lt;&gt;"Yes"),"UNKNOWN",IF($H119="Met",IF($K119&gt;=VALUE(RIGHT($G119,1)),"PASS","UNKNOWN"),IF(OR($H119="Partially met",$H119="Unmet"),"FAIL","UNKNOWN"))))))</x:f>
      </x:c>
      <x:c r="U119" t="str">
        <x:f>IF($A119="","",IF($S119=0,0,IF(AND($K119&gt;=1,$L119="Yes"),1,0)))</x:f>
      </x:c>
      <x:c r="V119" t="str">
        <x:f>IF($A119="","",IF(OR($S119=0,$H119="N/A",$L119&lt;&gt;"Yes"),0,$K119))</x:f>
      </x:c>
      <x:c r="AB119" t="str">
        <x:f>IF($A119="","",IF(AND($Q119=1,$H119="N/A",NOT(AND($P119&lt;&gt;"",$O119&lt;&gt;"",IFERROR(VLOOKUP($O119,'Exceptions'!$A$5:$M$204,2,FALSE),"")="N/A determination",IFERROR(VLOOKUP($O119,'Exceptions'!$A$5:$M$204,13,FALSE),"")="Active",IFERROR(ISNUMBER(SEARCH($A119,IFERROR(VLOOKUP($O119,'Exceptions'!$A$5:$M$204,3,FALSE),""))),FALSE)))),"MISSING OR INVALID N/A DECISION",IF(AND($Q119=1,OR($H119="Partially met",$H119="Unmet"),OR($K119&lt;1,$L119&lt;&gt;"Yes")),"KNOWN RATING NEEDS FRESH E1",IF(AND($Q119=1,$H119="Met",OR($K119&lt;VALUE(RIGHT($G119,1)),$L119&lt;&gt;"Yes")),"EVIDENCE BELOW MINIMUM",IF(AND($Q119=1,OR($H119="",$H119="Unknown")),"UNASSESSED",IF(AND($H119="N/A",AND($P119&lt;&gt;"",$O119&lt;&gt;"",IFERROR(VLOOKUP($O119,'Exceptions'!$A$5:$M$204,2,FALSE),"")="N/A determination",IFERROR(VLOOKUP($O119,'Exceptions'!$A$5:$M$204,13,FALSE),"")="Active",IFERROR(ISNUMBER(SEARCH($A119,IFERROR(VLOOKUP($O119,'Exceptions'!$A$5:$M$204,3,FALSE),""))),FALSE))),"N/A APPROVED",IF($O119&lt;&gt;"","EXCEPTION REVIEW","OK")))))))</x:f>
      </x:c>
    </x:row>
    <x:row r="120">
      <x:c r="H120" s="8"/>
      <x:c r="I120" t="str">
        <x:f>IF($A120="","",IF($H120="Met",1,IF($H120="Partially met",0.5,IF(OR($H120="Unmet",$H120="Unknown"),0,""))))</x:f>
      </x:c>
      <x:c r="J120" s="8"/>
      <x:c r="K120" t="str">
        <x:f>IF($A120="","",IF($J120="E4",4,IF($J120="E3",3,IF($J120="E2",2,IF($J120="E1",1,0)))))</x:f>
      </x:c>
      <x:c r="L120" s="8"/>
      <x:c r="M120" s="8"/>
      <x:c r="N120" s="8"/>
      <x:c r="O120" s="8"/>
      <x:c r="P120" s="8"/>
      <x:c r="Q120" t="str">
        <x:f>IF($A120="","",IF($D120="Baseline",1,IF($D120="Elevated",IF(OR('Profile'!$B$11="Elevated",'Profile'!$B$11="Critical"),1,0),IF($D120="Critical",IF('Profile'!$B$11="Critical",1,0),1))))</x:f>
      </x:c>
      <x:c r="R120" t="str">
        <x:f>IF($A120="","",IF($Q120=0,0,IF($H120="N/A",0,IF($H120="Met",IF(AND($K120&gt;=VALUE(RIGHT($G120,1)),$L120="Yes"),1,0),IF($H120="Partially met",IF(AND($K120&gt;=1,$L120="Yes"),0.5,0),0)))))</x:f>
      </x:c>
      <x:c r="S120" t="str">
        <x:f>IF($A120="","",IF($Q120=0,0,IF($H120="N/A",IF(AND($P120&lt;&gt;"",$O120&lt;&gt;"",IFERROR(VLOOKUP($O120,'Exceptions'!$A$5:$M$204,2,FALSE),"")="N/A determination",IFERROR(VLOOKUP($O120,'Exceptions'!$A$5:$M$204,13,FALSE),"")="Active",IFERROR(ISNUMBER(SEARCH($A120,IFERROR(VLOOKUP($O120,'Exceptions'!$A$5:$M$204,3,FALSE),""))),FALSE)),0,1),1)))</x:f>
      </x:c>
      <x:c r="T120" t="str">
        <x:f>IF($A120="","",IF($C120="","",IF($H120="N/A",IF(AND($P120&lt;&gt;"",$O120&lt;&gt;"",IFERROR(VLOOKUP($O120,'Exceptions'!$A$5:$M$204,2,FALSE),"")="N/A determination",IFERROR(VLOOKUP($O120,'Exceptions'!$A$5:$M$204,13,FALSE),"")="Active",IFERROR(ISNUMBER(SEARCH($A120,IFERROR(VLOOKUP($O120,'Exceptions'!$A$5:$M$204,3,FALSE),""))),FALSE)),"N/A","FAIL"),IF(OR($H120="Unknown",$H120="",$K120=0,$L120&lt;&gt;"Yes"),"UNKNOWN",IF($H120="Met",IF($K120&gt;=VALUE(RIGHT($G120,1)),"PASS","UNKNOWN"),IF(OR($H120="Partially met",$H120="Unmet"),"FAIL","UNKNOWN"))))))</x:f>
      </x:c>
      <x:c r="U120" t="str">
        <x:f>IF($A120="","",IF($S120=0,0,IF(AND($K120&gt;=1,$L120="Yes"),1,0)))</x:f>
      </x:c>
      <x:c r="V120" t="str">
        <x:f>IF($A120="","",IF(OR($S120=0,$H120="N/A",$L120&lt;&gt;"Yes"),0,$K120))</x:f>
      </x:c>
      <x:c r="AB120" t="str">
        <x:f>IF($A120="","",IF(AND($Q120=1,$H120="N/A",NOT(AND($P120&lt;&gt;"",$O120&lt;&gt;"",IFERROR(VLOOKUP($O120,'Exceptions'!$A$5:$M$204,2,FALSE),"")="N/A determination",IFERROR(VLOOKUP($O120,'Exceptions'!$A$5:$M$204,13,FALSE),"")="Active",IFERROR(ISNUMBER(SEARCH($A120,IFERROR(VLOOKUP($O120,'Exceptions'!$A$5:$M$204,3,FALSE),""))),FALSE)))),"MISSING OR INVALID N/A DECISION",IF(AND($Q120=1,OR($H120="Partially met",$H120="Unmet"),OR($K120&lt;1,$L120&lt;&gt;"Yes")),"KNOWN RATING NEEDS FRESH E1",IF(AND($Q120=1,$H120="Met",OR($K120&lt;VALUE(RIGHT($G120,1)),$L120&lt;&gt;"Yes")),"EVIDENCE BELOW MINIMUM",IF(AND($Q120=1,OR($H120="",$H120="Unknown")),"UNASSESSED",IF(AND($H120="N/A",AND($P120&lt;&gt;"",$O120&lt;&gt;"",IFERROR(VLOOKUP($O120,'Exceptions'!$A$5:$M$204,2,FALSE),"")="N/A determination",IFERROR(VLOOKUP($O120,'Exceptions'!$A$5:$M$204,13,FALSE),"")="Active",IFERROR(ISNUMBER(SEARCH($A120,IFERROR(VLOOKUP($O120,'Exceptions'!$A$5:$M$204,3,FALSE),""))),FALSE))),"N/A APPROVED",IF($O120&lt;&gt;"","EXCEPTION REVIEW","OK")))))))</x:f>
      </x:c>
    </x:row>
    <x:row r="121">
      <x:c r="H121" s="8"/>
      <x:c r="I121" t="str">
        <x:f>IF($A121="","",IF($H121="Met",1,IF($H121="Partially met",0.5,IF(OR($H121="Unmet",$H121="Unknown"),0,""))))</x:f>
      </x:c>
      <x:c r="J121" s="8"/>
      <x:c r="K121" t="str">
        <x:f>IF($A121="","",IF($J121="E4",4,IF($J121="E3",3,IF($J121="E2",2,IF($J121="E1",1,0)))))</x:f>
      </x:c>
      <x:c r="L121" s="8"/>
      <x:c r="M121" s="8"/>
      <x:c r="N121" s="8"/>
      <x:c r="O121" s="8"/>
      <x:c r="P121" s="8"/>
      <x:c r="Q121" t="str">
        <x:f>IF($A121="","",IF($D121="Baseline",1,IF($D121="Elevated",IF(OR('Profile'!$B$11="Elevated",'Profile'!$B$11="Critical"),1,0),IF($D121="Critical",IF('Profile'!$B$11="Critical",1,0),1))))</x:f>
      </x:c>
      <x:c r="R121" t="str">
        <x:f>IF($A121="","",IF($Q121=0,0,IF($H121="N/A",0,IF($H121="Met",IF(AND($K121&gt;=VALUE(RIGHT($G121,1)),$L121="Yes"),1,0),IF($H121="Partially met",IF(AND($K121&gt;=1,$L121="Yes"),0.5,0),0)))))</x:f>
      </x:c>
      <x:c r="S121" t="str">
        <x:f>IF($A121="","",IF($Q121=0,0,IF($H121="N/A",IF(AND($P121&lt;&gt;"",$O121&lt;&gt;"",IFERROR(VLOOKUP($O121,'Exceptions'!$A$5:$M$204,2,FALSE),"")="N/A determination",IFERROR(VLOOKUP($O121,'Exceptions'!$A$5:$M$204,13,FALSE),"")="Active",IFERROR(ISNUMBER(SEARCH($A121,IFERROR(VLOOKUP($O121,'Exceptions'!$A$5:$M$204,3,FALSE),""))),FALSE)),0,1),1)))</x:f>
      </x:c>
      <x:c r="T121" t="str">
        <x:f>IF($A121="","",IF($C121="","",IF($H121="N/A",IF(AND($P121&lt;&gt;"",$O121&lt;&gt;"",IFERROR(VLOOKUP($O121,'Exceptions'!$A$5:$M$204,2,FALSE),"")="N/A determination",IFERROR(VLOOKUP($O121,'Exceptions'!$A$5:$M$204,13,FALSE),"")="Active",IFERROR(ISNUMBER(SEARCH($A121,IFERROR(VLOOKUP($O121,'Exceptions'!$A$5:$M$204,3,FALSE),""))),FALSE)),"N/A","FAIL"),IF(OR($H121="Unknown",$H121="",$K121=0,$L121&lt;&gt;"Yes"),"UNKNOWN",IF($H121="Met",IF($K121&gt;=VALUE(RIGHT($G121,1)),"PASS","UNKNOWN"),IF(OR($H121="Partially met",$H121="Unmet"),"FAIL","UNKNOWN"))))))</x:f>
      </x:c>
      <x:c r="U121" t="str">
        <x:f>IF($A121="","",IF($S121=0,0,IF(AND($K121&gt;=1,$L121="Yes"),1,0)))</x:f>
      </x:c>
      <x:c r="V121" t="str">
        <x:f>IF($A121="","",IF(OR($S121=0,$H121="N/A",$L121&lt;&gt;"Yes"),0,$K121))</x:f>
      </x:c>
      <x:c r="AB121" t="str">
        <x:f>IF($A121="","",IF(AND($Q121=1,$H121="N/A",NOT(AND($P121&lt;&gt;"",$O121&lt;&gt;"",IFERROR(VLOOKUP($O121,'Exceptions'!$A$5:$M$204,2,FALSE),"")="N/A determination",IFERROR(VLOOKUP($O121,'Exceptions'!$A$5:$M$204,13,FALSE),"")="Active",IFERROR(ISNUMBER(SEARCH($A121,IFERROR(VLOOKUP($O121,'Exceptions'!$A$5:$M$204,3,FALSE),""))),FALSE)))),"MISSING OR INVALID N/A DECISION",IF(AND($Q121=1,OR($H121="Partially met",$H121="Unmet"),OR($K121&lt;1,$L121&lt;&gt;"Yes")),"KNOWN RATING NEEDS FRESH E1",IF(AND($Q121=1,$H121="Met",OR($K121&lt;VALUE(RIGHT($G121,1)),$L121&lt;&gt;"Yes")),"EVIDENCE BELOW MINIMUM",IF(AND($Q121=1,OR($H121="",$H121="Unknown")),"UNASSESSED",IF(AND($H121="N/A",AND($P121&lt;&gt;"",$O121&lt;&gt;"",IFERROR(VLOOKUP($O121,'Exceptions'!$A$5:$M$204,2,FALSE),"")="N/A determination",IFERROR(VLOOKUP($O121,'Exceptions'!$A$5:$M$204,13,FALSE),"")="Active",IFERROR(ISNUMBER(SEARCH($A121,IFERROR(VLOOKUP($O121,'Exceptions'!$A$5:$M$204,3,FALSE),""))),FALSE))),"N/A APPROVED",IF($O121&lt;&gt;"","EXCEPTION REVIEW","OK")))))))</x:f>
      </x:c>
    </x:row>
    <x:row r="122">
      <x:c r="H122" s="8"/>
      <x:c r="I122" t="str">
        <x:f>IF($A122="","",IF($H122="Met",1,IF($H122="Partially met",0.5,IF(OR($H122="Unmet",$H122="Unknown"),0,""))))</x:f>
      </x:c>
      <x:c r="J122" s="8"/>
      <x:c r="K122" t="str">
        <x:f>IF($A122="","",IF($J122="E4",4,IF($J122="E3",3,IF($J122="E2",2,IF($J122="E1",1,0)))))</x:f>
      </x:c>
      <x:c r="L122" s="8"/>
      <x:c r="M122" s="8"/>
      <x:c r="N122" s="8"/>
      <x:c r="O122" s="8"/>
      <x:c r="P122" s="8"/>
      <x:c r="Q122" t="str">
        <x:f>IF($A122="","",IF($D122="Baseline",1,IF($D122="Elevated",IF(OR('Profile'!$B$11="Elevated",'Profile'!$B$11="Critical"),1,0),IF($D122="Critical",IF('Profile'!$B$11="Critical",1,0),1))))</x:f>
      </x:c>
      <x:c r="R122" t="str">
        <x:f>IF($A122="","",IF($Q122=0,0,IF($H122="N/A",0,IF($H122="Met",IF(AND($K122&gt;=VALUE(RIGHT($G122,1)),$L122="Yes"),1,0),IF($H122="Partially met",IF(AND($K122&gt;=1,$L122="Yes"),0.5,0),0)))))</x:f>
      </x:c>
      <x:c r="S122" t="str">
        <x:f>IF($A122="","",IF($Q122=0,0,IF($H122="N/A",IF(AND($P122&lt;&gt;"",$O122&lt;&gt;"",IFERROR(VLOOKUP($O122,'Exceptions'!$A$5:$M$204,2,FALSE),"")="N/A determination",IFERROR(VLOOKUP($O122,'Exceptions'!$A$5:$M$204,13,FALSE),"")="Active",IFERROR(ISNUMBER(SEARCH($A122,IFERROR(VLOOKUP($O122,'Exceptions'!$A$5:$M$204,3,FALSE),""))),FALSE)),0,1),1)))</x:f>
      </x:c>
      <x:c r="T122" t="str">
        <x:f>IF($A122="","",IF($C122="","",IF($H122="N/A",IF(AND($P122&lt;&gt;"",$O122&lt;&gt;"",IFERROR(VLOOKUP($O122,'Exceptions'!$A$5:$M$204,2,FALSE),"")="N/A determination",IFERROR(VLOOKUP($O122,'Exceptions'!$A$5:$M$204,13,FALSE),"")="Active",IFERROR(ISNUMBER(SEARCH($A122,IFERROR(VLOOKUP($O122,'Exceptions'!$A$5:$M$204,3,FALSE),""))),FALSE)),"N/A","FAIL"),IF(OR($H122="Unknown",$H122="",$K122=0,$L122&lt;&gt;"Yes"),"UNKNOWN",IF($H122="Met",IF($K122&gt;=VALUE(RIGHT($G122,1)),"PASS","UNKNOWN"),IF(OR($H122="Partially met",$H122="Unmet"),"FAIL","UNKNOWN"))))))</x:f>
      </x:c>
      <x:c r="U122" t="str">
        <x:f>IF($A122="","",IF($S122=0,0,IF(AND($K122&gt;=1,$L122="Yes"),1,0)))</x:f>
      </x:c>
      <x:c r="V122" t="str">
        <x:f>IF($A122="","",IF(OR($S122=0,$H122="N/A",$L122&lt;&gt;"Yes"),0,$K122))</x:f>
      </x:c>
      <x:c r="AB122" t="str">
        <x:f>IF($A122="","",IF(AND($Q122=1,$H122="N/A",NOT(AND($P122&lt;&gt;"",$O122&lt;&gt;"",IFERROR(VLOOKUP($O122,'Exceptions'!$A$5:$M$204,2,FALSE),"")="N/A determination",IFERROR(VLOOKUP($O122,'Exceptions'!$A$5:$M$204,13,FALSE),"")="Active",IFERROR(ISNUMBER(SEARCH($A122,IFERROR(VLOOKUP($O122,'Exceptions'!$A$5:$M$204,3,FALSE),""))),FALSE)))),"MISSING OR INVALID N/A DECISION",IF(AND($Q122=1,OR($H122="Partially met",$H122="Unmet"),OR($K122&lt;1,$L122&lt;&gt;"Yes")),"KNOWN RATING NEEDS FRESH E1",IF(AND($Q122=1,$H122="Met",OR($K122&lt;VALUE(RIGHT($G122,1)),$L122&lt;&gt;"Yes")),"EVIDENCE BELOW MINIMUM",IF(AND($Q122=1,OR($H122="",$H122="Unknown")),"UNASSESSED",IF(AND($H122="N/A",AND($P122&lt;&gt;"",$O122&lt;&gt;"",IFERROR(VLOOKUP($O122,'Exceptions'!$A$5:$M$204,2,FALSE),"")="N/A determination",IFERROR(VLOOKUP($O122,'Exceptions'!$A$5:$M$204,13,FALSE),"")="Active",IFERROR(ISNUMBER(SEARCH($A122,IFERROR(VLOOKUP($O122,'Exceptions'!$A$5:$M$204,3,FALSE),""))),FALSE))),"N/A APPROVED",IF($O122&lt;&gt;"","EXCEPTION REVIEW","OK")))))))</x:f>
      </x:c>
    </x:row>
    <x:row r="123">
      <x:c r="H123" s="8"/>
      <x:c r="I123" t="str">
        <x:f>IF($A123="","",IF($H123="Met",1,IF($H123="Partially met",0.5,IF(OR($H123="Unmet",$H123="Unknown"),0,""))))</x:f>
      </x:c>
      <x:c r="J123" s="8"/>
      <x:c r="K123" t="str">
        <x:f>IF($A123="","",IF($J123="E4",4,IF($J123="E3",3,IF($J123="E2",2,IF($J123="E1",1,0)))))</x:f>
      </x:c>
      <x:c r="L123" s="8"/>
      <x:c r="M123" s="8"/>
      <x:c r="N123" s="8"/>
      <x:c r="O123" s="8"/>
      <x:c r="P123" s="8"/>
      <x:c r="Q123" t="str">
        <x:f>IF($A123="","",IF($D123="Baseline",1,IF($D123="Elevated",IF(OR('Profile'!$B$11="Elevated",'Profile'!$B$11="Critical"),1,0),IF($D123="Critical",IF('Profile'!$B$11="Critical",1,0),1))))</x:f>
      </x:c>
      <x:c r="R123" t="str">
        <x:f>IF($A123="","",IF($Q123=0,0,IF($H123="N/A",0,IF($H123="Met",IF(AND($K123&gt;=VALUE(RIGHT($G123,1)),$L123="Yes"),1,0),IF($H123="Partially met",IF(AND($K123&gt;=1,$L123="Yes"),0.5,0),0)))))</x:f>
      </x:c>
      <x:c r="S123" t="str">
        <x:f>IF($A123="","",IF($Q123=0,0,IF($H123="N/A",IF(AND($P123&lt;&gt;"",$O123&lt;&gt;"",IFERROR(VLOOKUP($O123,'Exceptions'!$A$5:$M$204,2,FALSE),"")="N/A determination",IFERROR(VLOOKUP($O123,'Exceptions'!$A$5:$M$204,13,FALSE),"")="Active",IFERROR(ISNUMBER(SEARCH($A123,IFERROR(VLOOKUP($O123,'Exceptions'!$A$5:$M$204,3,FALSE),""))),FALSE)),0,1),1)))</x:f>
      </x:c>
      <x:c r="T123" t="str">
        <x:f>IF($A123="","",IF($C123="","",IF($H123="N/A",IF(AND($P123&lt;&gt;"",$O123&lt;&gt;"",IFERROR(VLOOKUP($O123,'Exceptions'!$A$5:$M$204,2,FALSE),"")="N/A determination",IFERROR(VLOOKUP($O123,'Exceptions'!$A$5:$M$204,13,FALSE),"")="Active",IFERROR(ISNUMBER(SEARCH($A123,IFERROR(VLOOKUP($O123,'Exceptions'!$A$5:$M$204,3,FALSE),""))),FALSE)),"N/A","FAIL"),IF(OR($H123="Unknown",$H123="",$K123=0,$L123&lt;&gt;"Yes"),"UNKNOWN",IF($H123="Met",IF($K123&gt;=VALUE(RIGHT($G123,1)),"PASS","UNKNOWN"),IF(OR($H123="Partially met",$H123="Unmet"),"FAIL","UNKNOWN"))))))</x:f>
      </x:c>
      <x:c r="U123" t="str">
        <x:f>IF($A123="","",IF($S123=0,0,IF(AND($K123&gt;=1,$L123="Yes"),1,0)))</x:f>
      </x:c>
      <x:c r="V123" t="str">
        <x:f>IF($A123="","",IF(OR($S123=0,$H123="N/A",$L123&lt;&gt;"Yes"),0,$K123))</x:f>
      </x:c>
      <x:c r="AB123" t="str">
        <x:f>IF($A123="","",IF(AND($Q123=1,$H123="N/A",NOT(AND($P123&lt;&gt;"",$O123&lt;&gt;"",IFERROR(VLOOKUP($O123,'Exceptions'!$A$5:$M$204,2,FALSE),"")="N/A determination",IFERROR(VLOOKUP($O123,'Exceptions'!$A$5:$M$204,13,FALSE),"")="Active",IFERROR(ISNUMBER(SEARCH($A123,IFERROR(VLOOKUP($O123,'Exceptions'!$A$5:$M$204,3,FALSE),""))),FALSE)))),"MISSING OR INVALID N/A DECISION",IF(AND($Q123=1,OR($H123="Partially met",$H123="Unmet"),OR($K123&lt;1,$L123&lt;&gt;"Yes")),"KNOWN RATING NEEDS FRESH E1",IF(AND($Q123=1,$H123="Met",OR($K123&lt;VALUE(RIGHT($G123,1)),$L123&lt;&gt;"Yes")),"EVIDENCE BELOW MINIMUM",IF(AND($Q123=1,OR($H123="",$H123="Unknown")),"UNASSESSED",IF(AND($H123="N/A",AND($P123&lt;&gt;"",$O123&lt;&gt;"",IFERROR(VLOOKUP($O123,'Exceptions'!$A$5:$M$204,2,FALSE),"")="N/A determination",IFERROR(VLOOKUP($O123,'Exceptions'!$A$5:$M$204,13,FALSE),"")="Active",IFERROR(ISNUMBER(SEARCH($A123,IFERROR(VLOOKUP($O123,'Exceptions'!$A$5:$M$204,3,FALSE),""))),FALSE))),"N/A APPROVED",IF($O123&lt;&gt;"","EXCEPTION REVIEW","OK")))))))</x:f>
      </x:c>
    </x:row>
    <x:row r="124">
      <x:c r="H124" s="8"/>
      <x:c r="I124" t="str">
        <x:f>IF($A124="","",IF($H124="Met",1,IF($H124="Partially met",0.5,IF(OR($H124="Unmet",$H124="Unknown"),0,""))))</x:f>
      </x:c>
      <x:c r="J124" s="8"/>
      <x:c r="K124" t="str">
        <x:f>IF($A124="","",IF($J124="E4",4,IF($J124="E3",3,IF($J124="E2",2,IF($J124="E1",1,0)))))</x:f>
      </x:c>
      <x:c r="L124" s="8"/>
      <x:c r="M124" s="8"/>
      <x:c r="N124" s="8"/>
      <x:c r="O124" s="8"/>
      <x:c r="P124" s="8"/>
      <x:c r="Q124" t="str">
        <x:f>IF($A124="","",IF($D124="Baseline",1,IF($D124="Elevated",IF(OR('Profile'!$B$11="Elevated",'Profile'!$B$11="Critical"),1,0),IF($D124="Critical",IF('Profile'!$B$11="Critical",1,0),1))))</x:f>
      </x:c>
      <x:c r="R124" t="str">
        <x:f>IF($A124="","",IF($Q124=0,0,IF($H124="N/A",0,IF($H124="Met",IF(AND($K124&gt;=VALUE(RIGHT($G124,1)),$L124="Yes"),1,0),IF($H124="Partially met",IF(AND($K124&gt;=1,$L124="Yes"),0.5,0),0)))))</x:f>
      </x:c>
      <x:c r="S124" t="str">
        <x:f>IF($A124="","",IF($Q124=0,0,IF($H124="N/A",IF(AND($P124&lt;&gt;"",$O124&lt;&gt;"",IFERROR(VLOOKUP($O124,'Exceptions'!$A$5:$M$204,2,FALSE),"")="N/A determination",IFERROR(VLOOKUP($O124,'Exceptions'!$A$5:$M$204,13,FALSE),"")="Active",IFERROR(ISNUMBER(SEARCH($A124,IFERROR(VLOOKUP($O124,'Exceptions'!$A$5:$M$204,3,FALSE),""))),FALSE)),0,1),1)))</x:f>
      </x:c>
      <x:c r="T124" t="str">
        <x:f>IF($A124="","",IF($C124="","",IF($H124="N/A",IF(AND($P124&lt;&gt;"",$O124&lt;&gt;"",IFERROR(VLOOKUP($O124,'Exceptions'!$A$5:$M$204,2,FALSE),"")="N/A determination",IFERROR(VLOOKUP($O124,'Exceptions'!$A$5:$M$204,13,FALSE),"")="Active",IFERROR(ISNUMBER(SEARCH($A124,IFERROR(VLOOKUP($O124,'Exceptions'!$A$5:$M$204,3,FALSE),""))),FALSE)),"N/A","FAIL"),IF(OR($H124="Unknown",$H124="",$K124=0,$L124&lt;&gt;"Yes"),"UNKNOWN",IF($H124="Met",IF($K124&gt;=VALUE(RIGHT($G124,1)),"PASS","UNKNOWN"),IF(OR($H124="Partially met",$H124="Unmet"),"FAIL","UNKNOWN"))))))</x:f>
      </x:c>
      <x:c r="U124" t="str">
        <x:f>IF($A124="","",IF($S124=0,0,IF(AND($K124&gt;=1,$L124="Yes"),1,0)))</x:f>
      </x:c>
      <x:c r="V124" t="str">
        <x:f>IF($A124="","",IF(OR($S124=0,$H124="N/A",$L124&lt;&gt;"Yes"),0,$K124))</x:f>
      </x:c>
      <x:c r="AB124" t="str">
        <x:f>IF($A124="","",IF(AND($Q124=1,$H124="N/A",NOT(AND($P124&lt;&gt;"",$O124&lt;&gt;"",IFERROR(VLOOKUP($O124,'Exceptions'!$A$5:$M$204,2,FALSE),"")="N/A determination",IFERROR(VLOOKUP($O124,'Exceptions'!$A$5:$M$204,13,FALSE),"")="Active",IFERROR(ISNUMBER(SEARCH($A124,IFERROR(VLOOKUP($O124,'Exceptions'!$A$5:$M$204,3,FALSE),""))),FALSE)))),"MISSING OR INVALID N/A DECISION",IF(AND($Q124=1,OR($H124="Partially met",$H124="Unmet"),OR($K124&lt;1,$L124&lt;&gt;"Yes")),"KNOWN RATING NEEDS FRESH E1",IF(AND($Q124=1,$H124="Met",OR($K124&lt;VALUE(RIGHT($G124,1)),$L124&lt;&gt;"Yes")),"EVIDENCE BELOW MINIMUM",IF(AND($Q124=1,OR($H124="",$H124="Unknown")),"UNASSESSED",IF(AND($H124="N/A",AND($P124&lt;&gt;"",$O124&lt;&gt;"",IFERROR(VLOOKUP($O124,'Exceptions'!$A$5:$M$204,2,FALSE),"")="N/A determination",IFERROR(VLOOKUP($O124,'Exceptions'!$A$5:$M$204,13,FALSE),"")="Active",IFERROR(ISNUMBER(SEARCH($A124,IFERROR(VLOOKUP($O124,'Exceptions'!$A$5:$M$204,3,FALSE),""))),FALSE))),"N/A APPROVED",IF($O124&lt;&gt;"","EXCEPTION REVIEW","OK")))))))</x:f>
      </x:c>
    </x:row>
    <x:row r="125">
      <x:c r="H125" s="8"/>
      <x:c r="I125" t="str">
        <x:f>IF($A125="","",IF($H125="Met",1,IF($H125="Partially met",0.5,IF(OR($H125="Unmet",$H125="Unknown"),0,""))))</x:f>
      </x:c>
      <x:c r="J125" s="8"/>
      <x:c r="K125" t="str">
        <x:f>IF($A125="","",IF($J125="E4",4,IF($J125="E3",3,IF($J125="E2",2,IF($J125="E1",1,0)))))</x:f>
      </x:c>
      <x:c r="L125" s="8"/>
      <x:c r="M125" s="8"/>
      <x:c r="N125" s="8"/>
      <x:c r="O125" s="8"/>
      <x:c r="P125" s="8"/>
      <x:c r="Q125" t="str">
        <x:f>IF($A125="","",IF($D125="Baseline",1,IF($D125="Elevated",IF(OR('Profile'!$B$11="Elevated",'Profile'!$B$11="Critical"),1,0),IF($D125="Critical",IF('Profile'!$B$11="Critical",1,0),1))))</x:f>
      </x:c>
      <x:c r="R125" t="str">
        <x:f>IF($A125="","",IF($Q125=0,0,IF($H125="N/A",0,IF($H125="Met",IF(AND($K125&gt;=VALUE(RIGHT($G125,1)),$L125="Yes"),1,0),IF($H125="Partially met",IF(AND($K125&gt;=1,$L125="Yes"),0.5,0),0)))))</x:f>
      </x:c>
      <x:c r="S125" t="str">
        <x:f>IF($A125="","",IF($Q125=0,0,IF($H125="N/A",IF(AND($P125&lt;&gt;"",$O125&lt;&gt;"",IFERROR(VLOOKUP($O125,'Exceptions'!$A$5:$M$204,2,FALSE),"")="N/A determination",IFERROR(VLOOKUP($O125,'Exceptions'!$A$5:$M$204,13,FALSE),"")="Active",IFERROR(ISNUMBER(SEARCH($A125,IFERROR(VLOOKUP($O125,'Exceptions'!$A$5:$M$204,3,FALSE),""))),FALSE)),0,1),1)))</x:f>
      </x:c>
      <x:c r="T125" t="str">
        <x:f>IF($A125="","",IF($C125="","",IF($H125="N/A",IF(AND($P125&lt;&gt;"",$O125&lt;&gt;"",IFERROR(VLOOKUP($O125,'Exceptions'!$A$5:$M$204,2,FALSE),"")="N/A determination",IFERROR(VLOOKUP($O125,'Exceptions'!$A$5:$M$204,13,FALSE),"")="Active",IFERROR(ISNUMBER(SEARCH($A125,IFERROR(VLOOKUP($O125,'Exceptions'!$A$5:$M$204,3,FALSE),""))),FALSE)),"N/A","FAIL"),IF(OR($H125="Unknown",$H125="",$K125=0,$L125&lt;&gt;"Yes"),"UNKNOWN",IF($H125="Met",IF($K125&gt;=VALUE(RIGHT($G125,1)),"PASS","UNKNOWN"),IF(OR($H125="Partially met",$H125="Unmet"),"FAIL","UNKNOWN"))))))</x:f>
      </x:c>
      <x:c r="U125" t="str">
        <x:f>IF($A125="","",IF($S125=0,0,IF(AND($K125&gt;=1,$L125="Yes"),1,0)))</x:f>
      </x:c>
      <x:c r="V125" t="str">
        <x:f>IF($A125="","",IF(OR($S125=0,$H125="N/A",$L125&lt;&gt;"Yes"),0,$K125))</x:f>
      </x:c>
      <x:c r="AB125" t="str">
        <x:f>IF($A125="","",IF(AND($Q125=1,$H125="N/A",NOT(AND($P125&lt;&gt;"",$O125&lt;&gt;"",IFERROR(VLOOKUP($O125,'Exceptions'!$A$5:$M$204,2,FALSE),"")="N/A determination",IFERROR(VLOOKUP($O125,'Exceptions'!$A$5:$M$204,13,FALSE),"")="Active",IFERROR(ISNUMBER(SEARCH($A125,IFERROR(VLOOKUP($O125,'Exceptions'!$A$5:$M$204,3,FALSE),""))),FALSE)))),"MISSING OR INVALID N/A DECISION",IF(AND($Q125=1,OR($H125="Partially met",$H125="Unmet"),OR($K125&lt;1,$L125&lt;&gt;"Yes")),"KNOWN RATING NEEDS FRESH E1",IF(AND($Q125=1,$H125="Met",OR($K125&lt;VALUE(RIGHT($G125,1)),$L125&lt;&gt;"Yes")),"EVIDENCE BELOW MINIMUM",IF(AND($Q125=1,OR($H125="",$H125="Unknown")),"UNASSESSED",IF(AND($H125="N/A",AND($P125&lt;&gt;"",$O125&lt;&gt;"",IFERROR(VLOOKUP($O125,'Exceptions'!$A$5:$M$204,2,FALSE),"")="N/A determination",IFERROR(VLOOKUP($O125,'Exceptions'!$A$5:$M$204,13,FALSE),"")="Active",IFERROR(ISNUMBER(SEARCH($A125,IFERROR(VLOOKUP($O125,'Exceptions'!$A$5:$M$204,3,FALSE),""))),FALSE))),"N/A APPROVED",IF($O125&lt;&gt;"","EXCEPTION REVIEW","OK")))))))</x:f>
      </x:c>
    </x:row>
    <x:row r="126">
      <x:c r="H126" s="8"/>
      <x:c r="I126" t="str">
        <x:f>IF($A126="","",IF($H126="Met",1,IF($H126="Partially met",0.5,IF(OR($H126="Unmet",$H126="Unknown"),0,""))))</x:f>
      </x:c>
      <x:c r="J126" s="8"/>
      <x:c r="K126" t="str">
        <x:f>IF($A126="","",IF($J126="E4",4,IF($J126="E3",3,IF($J126="E2",2,IF($J126="E1",1,0)))))</x:f>
      </x:c>
      <x:c r="L126" s="8"/>
      <x:c r="M126" s="8"/>
      <x:c r="N126" s="8"/>
      <x:c r="O126" s="8"/>
      <x:c r="P126" s="8"/>
      <x:c r="Q126" t="str">
        <x:f>IF($A126="","",IF($D126="Baseline",1,IF($D126="Elevated",IF(OR('Profile'!$B$11="Elevated",'Profile'!$B$11="Critical"),1,0),IF($D126="Critical",IF('Profile'!$B$11="Critical",1,0),1))))</x:f>
      </x:c>
      <x:c r="R126" t="str">
        <x:f>IF($A126="","",IF($Q126=0,0,IF($H126="N/A",0,IF($H126="Met",IF(AND($K126&gt;=VALUE(RIGHT($G126,1)),$L126="Yes"),1,0),IF($H126="Partially met",IF(AND($K126&gt;=1,$L126="Yes"),0.5,0),0)))))</x:f>
      </x:c>
      <x:c r="S126" t="str">
        <x:f>IF($A126="","",IF($Q126=0,0,IF($H126="N/A",IF(AND($P126&lt;&gt;"",$O126&lt;&gt;"",IFERROR(VLOOKUP($O126,'Exceptions'!$A$5:$M$204,2,FALSE),"")="N/A determination",IFERROR(VLOOKUP($O126,'Exceptions'!$A$5:$M$204,13,FALSE),"")="Active",IFERROR(ISNUMBER(SEARCH($A126,IFERROR(VLOOKUP($O126,'Exceptions'!$A$5:$M$204,3,FALSE),""))),FALSE)),0,1),1)))</x:f>
      </x:c>
      <x:c r="T126" t="str">
        <x:f>IF($A126="","",IF($C126="","",IF($H126="N/A",IF(AND($P126&lt;&gt;"",$O126&lt;&gt;"",IFERROR(VLOOKUP($O126,'Exceptions'!$A$5:$M$204,2,FALSE),"")="N/A determination",IFERROR(VLOOKUP($O126,'Exceptions'!$A$5:$M$204,13,FALSE),"")="Active",IFERROR(ISNUMBER(SEARCH($A126,IFERROR(VLOOKUP($O126,'Exceptions'!$A$5:$M$204,3,FALSE),""))),FALSE)),"N/A","FAIL"),IF(OR($H126="Unknown",$H126="",$K126=0,$L126&lt;&gt;"Yes"),"UNKNOWN",IF($H126="Met",IF($K126&gt;=VALUE(RIGHT($G126,1)),"PASS","UNKNOWN"),IF(OR($H126="Partially met",$H126="Unmet"),"FAIL","UNKNOWN"))))))</x:f>
      </x:c>
      <x:c r="U126" t="str">
        <x:f>IF($A126="","",IF($S126=0,0,IF(AND($K126&gt;=1,$L126="Yes"),1,0)))</x:f>
      </x:c>
      <x:c r="V126" t="str">
        <x:f>IF($A126="","",IF(OR($S126=0,$H126="N/A",$L126&lt;&gt;"Yes"),0,$K126))</x:f>
      </x:c>
      <x:c r="AB126" t="str">
        <x:f>IF($A126="","",IF(AND($Q126=1,$H126="N/A",NOT(AND($P126&lt;&gt;"",$O126&lt;&gt;"",IFERROR(VLOOKUP($O126,'Exceptions'!$A$5:$M$204,2,FALSE),"")="N/A determination",IFERROR(VLOOKUP($O126,'Exceptions'!$A$5:$M$204,13,FALSE),"")="Active",IFERROR(ISNUMBER(SEARCH($A126,IFERROR(VLOOKUP($O126,'Exceptions'!$A$5:$M$204,3,FALSE),""))),FALSE)))),"MISSING OR INVALID N/A DECISION",IF(AND($Q126=1,OR($H126="Partially met",$H126="Unmet"),OR($K126&lt;1,$L126&lt;&gt;"Yes")),"KNOWN RATING NEEDS FRESH E1",IF(AND($Q126=1,$H126="Met",OR($K126&lt;VALUE(RIGHT($G126,1)),$L126&lt;&gt;"Yes")),"EVIDENCE BELOW MINIMUM",IF(AND($Q126=1,OR($H126="",$H126="Unknown")),"UNASSESSED",IF(AND($H126="N/A",AND($P126&lt;&gt;"",$O126&lt;&gt;"",IFERROR(VLOOKUP($O126,'Exceptions'!$A$5:$M$204,2,FALSE),"")="N/A determination",IFERROR(VLOOKUP($O126,'Exceptions'!$A$5:$M$204,13,FALSE),"")="Active",IFERROR(ISNUMBER(SEARCH($A126,IFERROR(VLOOKUP($O126,'Exceptions'!$A$5:$M$204,3,FALSE),""))),FALSE))),"N/A APPROVED",IF($O126&lt;&gt;"","EXCEPTION REVIEW","OK")))))))</x:f>
      </x:c>
    </x:row>
    <x:row r="127">
      <x:c r="H127" s="8"/>
      <x:c r="I127" t="str">
        <x:f>IF($A127="","",IF($H127="Met",1,IF($H127="Partially met",0.5,IF(OR($H127="Unmet",$H127="Unknown"),0,""))))</x:f>
      </x:c>
      <x:c r="J127" s="8"/>
      <x:c r="K127" t="str">
        <x:f>IF($A127="","",IF($J127="E4",4,IF($J127="E3",3,IF($J127="E2",2,IF($J127="E1",1,0)))))</x:f>
      </x:c>
      <x:c r="L127" s="8"/>
      <x:c r="M127" s="8"/>
      <x:c r="N127" s="8"/>
      <x:c r="O127" s="8"/>
      <x:c r="P127" s="8"/>
      <x:c r="Q127" t="str">
        <x:f>IF($A127="","",IF($D127="Baseline",1,IF($D127="Elevated",IF(OR('Profile'!$B$11="Elevated",'Profile'!$B$11="Critical"),1,0),IF($D127="Critical",IF('Profile'!$B$11="Critical",1,0),1))))</x:f>
      </x:c>
      <x:c r="R127" t="str">
        <x:f>IF($A127="","",IF($Q127=0,0,IF($H127="N/A",0,IF($H127="Met",IF(AND($K127&gt;=VALUE(RIGHT($G127,1)),$L127="Yes"),1,0),IF($H127="Partially met",IF(AND($K127&gt;=1,$L127="Yes"),0.5,0),0)))))</x:f>
      </x:c>
      <x:c r="S127" t="str">
        <x:f>IF($A127="","",IF($Q127=0,0,IF($H127="N/A",IF(AND($P127&lt;&gt;"",$O127&lt;&gt;"",IFERROR(VLOOKUP($O127,'Exceptions'!$A$5:$M$204,2,FALSE),"")="N/A determination",IFERROR(VLOOKUP($O127,'Exceptions'!$A$5:$M$204,13,FALSE),"")="Active",IFERROR(ISNUMBER(SEARCH($A127,IFERROR(VLOOKUP($O127,'Exceptions'!$A$5:$M$204,3,FALSE),""))),FALSE)),0,1),1)))</x:f>
      </x:c>
      <x:c r="T127" t="str">
        <x:f>IF($A127="","",IF($C127="","",IF($H127="N/A",IF(AND($P127&lt;&gt;"",$O127&lt;&gt;"",IFERROR(VLOOKUP($O127,'Exceptions'!$A$5:$M$204,2,FALSE),"")="N/A determination",IFERROR(VLOOKUP($O127,'Exceptions'!$A$5:$M$204,13,FALSE),"")="Active",IFERROR(ISNUMBER(SEARCH($A127,IFERROR(VLOOKUP($O127,'Exceptions'!$A$5:$M$204,3,FALSE),""))),FALSE)),"N/A","FAIL"),IF(OR($H127="Unknown",$H127="",$K127=0,$L127&lt;&gt;"Yes"),"UNKNOWN",IF($H127="Met",IF($K127&gt;=VALUE(RIGHT($G127,1)),"PASS","UNKNOWN"),IF(OR($H127="Partially met",$H127="Unmet"),"FAIL","UNKNOWN"))))))</x:f>
      </x:c>
      <x:c r="U127" t="str">
        <x:f>IF($A127="","",IF($S127=0,0,IF(AND($K127&gt;=1,$L127="Yes"),1,0)))</x:f>
      </x:c>
      <x:c r="V127" t="str">
        <x:f>IF($A127="","",IF(OR($S127=0,$H127="N/A",$L127&lt;&gt;"Yes"),0,$K127))</x:f>
      </x:c>
      <x:c r="AB127" t="str">
        <x:f>IF($A127="","",IF(AND($Q127=1,$H127="N/A",NOT(AND($P127&lt;&gt;"",$O127&lt;&gt;"",IFERROR(VLOOKUP($O127,'Exceptions'!$A$5:$M$204,2,FALSE),"")="N/A determination",IFERROR(VLOOKUP($O127,'Exceptions'!$A$5:$M$204,13,FALSE),"")="Active",IFERROR(ISNUMBER(SEARCH($A127,IFERROR(VLOOKUP($O127,'Exceptions'!$A$5:$M$204,3,FALSE),""))),FALSE)))),"MISSING OR INVALID N/A DECISION",IF(AND($Q127=1,OR($H127="Partially met",$H127="Unmet"),OR($K127&lt;1,$L127&lt;&gt;"Yes")),"KNOWN RATING NEEDS FRESH E1",IF(AND($Q127=1,$H127="Met",OR($K127&lt;VALUE(RIGHT($G127,1)),$L127&lt;&gt;"Yes")),"EVIDENCE BELOW MINIMUM",IF(AND($Q127=1,OR($H127="",$H127="Unknown")),"UNASSESSED",IF(AND($H127="N/A",AND($P127&lt;&gt;"",$O127&lt;&gt;"",IFERROR(VLOOKUP($O127,'Exceptions'!$A$5:$M$204,2,FALSE),"")="N/A determination",IFERROR(VLOOKUP($O127,'Exceptions'!$A$5:$M$204,13,FALSE),"")="Active",IFERROR(ISNUMBER(SEARCH($A127,IFERROR(VLOOKUP($O127,'Exceptions'!$A$5:$M$204,3,FALSE),""))),FALSE))),"N/A APPROVED",IF($O127&lt;&gt;"","EXCEPTION REVIEW","OK")))))))</x:f>
      </x:c>
    </x:row>
    <x:row r="128">
      <x:c r="H128" s="8"/>
      <x:c r="I128" t="str">
        <x:f>IF($A128="","",IF($H128="Met",1,IF($H128="Partially met",0.5,IF(OR($H128="Unmet",$H128="Unknown"),0,""))))</x:f>
      </x:c>
      <x:c r="J128" s="8"/>
      <x:c r="K128" t="str">
        <x:f>IF($A128="","",IF($J128="E4",4,IF($J128="E3",3,IF($J128="E2",2,IF($J128="E1",1,0)))))</x:f>
      </x:c>
      <x:c r="L128" s="8"/>
      <x:c r="M128" s="8"/>
      <x:c r="N128" s="8"/>
      <x:c r="O128" s="8"/>
      <x:c r="P128" s="8"/>
      <x:c r="Q128" t="str">
        <x:f>IF($A128="","",IF($D128="Baseline",1,IF($D128="Elevated",IF(OR('Profile'!$B$11="Elevated",'Profile'!$B$11="Critical"),1,0),IF($D128="Critical",IF('Profile'!$B$11="Critical",1,0),1))))</x:f>
      </x:c>
      <x:c r="R128" t="str">
        <x:f>IF($A128="","",IF($Q128=0,0,IF($H128="N/A",0,IF($H128="Met",IF(AND($K128&gt;=VALUE(RIGHT($G128,1)),$L128="Yes"),1,0),IF($H128="Partially met",IF(AND($K128&gt;=1,$L128="Yes"),0.5,0),0)))))</x:f>
      </x:c>
      <x:c r="S128" t="str">
        <x:f>IF($A128="","",IF($Q128=0,0,IF($H128="N/A",IF(AND($P128&lt;&gt;"",$O128&lt;&gt;"",IFERROR(VLOOKUP($O128,'Exceptions'!$A$5:$M$204,2,FALSE),"")="N/A determination",IFERROR(VLOOKUP($O128,'Exceptions'!$A$5:$M$204,13,FALSE),"")="Active",IFERROR(ISNUMBER(SEARCH($A128,IFERROR(VLOOKUP($O128,'Exceptions'!$A$5:$M$204,3,FALSE),""))),FALSE)),0,1),1)))</x:f>
      </x:c>
      <x:c r="T128" t="str">
        <x:f>IF($A128="","",IF($C128="","",IF($H128="N/A",IF(AND($P128&lt;&gt;"",$O128&lt;&gt;"",IFERROR(VLOOKUP($O128,'Exceptions'!$A$5:$M$204,2,FALSE),"")="N/A determination",IFERROR(VLOOKUP($O128,'Exceptions'!$A$5:$M$204,13,FALSE),"")="Active",IFERROR(ISNUMBER(SEARCH($A128,IFERROR(VLOOKUP($O128,'Exceptions'!$A$5:$M$204,3,FALSE),""))),FALSE)),"N/A","FAIL"),IF(OR($H128="Unknown",$H128="",$K128=0,$L128&lt;&gt;"Yes"),"UNKNOWN",IF($H128="Met",IF($K128&gt;=VALUE(RIGHT($G128,1)),"PASS","UNKNOWN"),IF(OR($H128="Partially met",$H128="Unmet"),"FAIL","UNKNOWN"))))))</x:f>
      </x:c>
      <x:c r="U128" t="str">
        <x:f>IF($A128="","",IF($S128=0,0,IF(AND($K128&gt;=1,$L128="Yes"),1,0)))</x:f>
      </x:c>
      <x:c r="V128" t="str">
        <x:f>IF($A128="","",IF(OR($S128=0,$H128="N/A",$L128&lt;&gt;"Yes"),0,$K128))</x:f>
      </x:c>
      <x:c r="AB128" t="str">
        <x:f>IF($A128="","",IF(AND($Q128=1,$H128="N/A",NOT(AND($P128&lt;&gt;"",$O128&lt;&gt;"",IFERROR(VLOOKUP($O128,'Exceptions'!$A$5:$M$204,2,FALSE),"")="N/A determination",IFERROR(VLOOKUP($O128,'Exceptions'!$A$5:$M$204,13,FALSE),"")="Active",IFERROR(ISNUMBER(SEARCH($A128,IFERROR(VLOOKUP($O128,'Exceptions'!$A$5:$M$204,3,FALSE),""))),FALSE)))),"MISSING OR INVALID N/A DECISION",IF(AND($Q128=1,OR($H128="Partially met",$H128="Unmet"),OR($K128&lt;1,$L128&lt;&gt;"Yes")),"KNOWN RATING NEEDS FRESH E1",IF(AND($Q128=1,$H128="Met",OR($K128&lt;VALUE(RIGHT($G128,1)),$L128&lt;&gt;"Yes")),"EVIDENCE BELOW MINIMUM",IF(AND($Q128=1,OR($H128="",$H128="Unknown")),"UNASSESSED",IF(AND($H128="N/A",AND($P128&lt;&gt;"",$O128&lt;&gt;"",IFERROR(VLOOKUP($O128,'Exceptions'!$A$5:$M$204,2,FALSE),"")="N/A determination",IFERROR(VLOOKUP($O128,'Exceptions'!$A$5:$M$204,13,FALSE),"")="Active",IFERROR(ISNUMBER(SEARCH($A128,IFERROR(VLOOKUP($O128,'Exceptions'!$A$5:$M$204,3,FALSE),""))),FALSE))),"N/A APPROVED",IF($O128&lt;&gt;"","EXCEPTION REVIEW","OK")))))))</x:f>
      </x:c>
    </x:row>
    <x:row r="129">
      <x:c r="H129" s="8"/>
      <x:c r="I129" t="str">
        <x:f>IF($A129="","",IF($H129="Met",1,IF($H129="Partially met",0.5,IF(OR($H129="Unmet",$H129="Unknown"),0,""))))</x:f>
      </x:c>
      <x:c r="J129" s="8"/>
      <x:c r="K129" t="str">
        <x:f>IF($A129="","",IF($J129="E4",4,IF($J129="E3",3,IF($J129="E2",2,IF($J129="E1",1,0)))))</x:f>
      </x:c>
      <x:c r="L129" s="8"/>
      <x:c r="M129" s="8"/>
      <x:c r="N129" s="8"/>
      <x:c r="O129" s="8"/>
      <x:c r="P129" s="8"/>
      <x:c r="Q129" t="str">
        <x:f>IF($A129="","",IF($D129="Baseline",1,IF($D129="Elevated",IF(OR('Profile'!$B$11="Elevated",'Profile'!$B$11="Critical"),1,0),IF($D129="Critical",IF('Profile'!$B$11="Critical",1,0),1))))</x:f>
      </x:c>
      <x:c r="R129" t="str">
        <x:f>IF($A129="","",IF($Q129=0,0,IF($H129="N/A",0,IF($H129="Met",IF(AND($K129&gt;=VALUE(RIGHT($G129,1)),$L129="Yes"),1,0),IF($H129="Partially met",IF(AND($K129&gt;=1,$L129="Yes"),0.5,0),0)))))</x:f>
      </x:c>
      <x:c r="S129" t="str">
        <x:f>IF($A129="","",IF($Q129=0,0,IF($H129="N/A",IF(AND($P129&lt;&gt;"",$O129&lt;&gt;"",IFERROR(VLOOKUP($O129,'Exceptions'!$A$5:$M$204,2,FALSE),"")="N/A determination",IFERROR(VLOOKUP($O129,'Exceptions'!$A$5:$M$204,13,FALSE),"")="Active",IFERROR(ISNUMBER(SEARCH($A129,IFERROR(VLOOKUP($O129,'Exceptions'!$A$5:$M$204,3,FALSE),""))),FALSE)),0,1),1)))</x:f>
      </x:c>
      <x:c r="T129" t="str">
        <x:f>IF($A129="","",IF($C129="","",IF($H129="N/A",IF(AND($P129&lt;&gt;"",$O129&lt;&gt;"",IFERROR(VLOOKUP($O129,'Exceptions'!$A$5:$M$204,2,FALSE),"")="N/A determination",IFERROR(VLOOKUP($O129,'Exceptions'!$A$5:$M$204,13,FALSE),"")="Active",IFERROR(ISNUMBER(SEARCH($A129,IFERROR(VLOOKUP($O129,'Exceptions'!$A$5:$M$204,3,FALSE),""))),FALSE)),"N/A","FAIL"),IF(OR($H129="Unknown",$H129="",$K129=0,$L129&lt;&gt;"Yes"),"UNKNOWN",IF($H129="Met",IF($K129&gt;=VALUE(RIGHT($G129,1)),"PASS","UNKNOWN"),IF(OR($H129="Partially met",$H129="Unmet"),"FAIL","UNKNOWN"))))))</x:f>
      </x:c>
      <x:c r="U129" t="str">
        <x:f>IF($A129="","",IF($S129=0,0,IF(AND($K129&gt;=1,$L129="Yes"),1,0)))</x:f>
      </x:c>
      <x:c r="V129" t="str">
        <x:f>IF($A129="","",IF(OR($S129=0,$H129="N/A",$L129&lt;&gt;"Yes"),0,$K129))</x:f>
      </x:c>
      <x:c r="AB129" t="str">
        <x:f>IF($A129="","",IF(AND($Q129=1,$H129="N/A",NOT(AND($P129&lt;&gt;"",$O129&lt;&gt;"",IFERROR(VLOOKUP($O129,'Exceptions'!$A$5:$M$204,2,FALSE),"")="N/A determination",IFERROR(VLOOKUP($O129,'Exceptions'!$A$5:$M$204,13,FALSE),"")="Active",IFERROR(ISNUMBER(SEARCH($A129,IFERROR(VLOOKUP($O129,'Exceptions'!$A$5:$M$204,3,FALSE),""))),FALSE)))),"MISSING OR INVALID N/A DECISION",IF(AND($Q129=1,OR($H129="Partially met",$H129="Unmet"),OR($K129&lt;1,$L129&lt;&gt;"Yes")),"KNOWN RATING NEEDS FRESH E1",IF(AND($Q129=1,$H129="Met",OR($K129&lt;VALUE(RIGHT($G129,1)),$L129&lt;&gt;"Yes")),"EVIDENCE BELOW MINIMUM",IF(AND($Q129=1,OR($H129="",$H129="Unknown")),"UNASSESSED",IF(AND($H129="N/A",AND($P129&lt;&gt;"",$O129&lt;&gt;"",IFERROR(VLOOKUP($O129,'Exceptions'!$A$5:$M$204,2,FALSE),"")="N/A determination",IFERROR(VLOOKUP($O129,'Exceptions'!$A$5:$M$204,13,FALSE),"")="Active",IFERROR(ISNUMBER(SEARCH($A129,IFERROR(VLOOKUP($O129,'Exceptions'!$A$5:$M$204,3,FALSE),""))),FALSE))),"N/A APPROVED",IF($O129&lt;&gt;"","EXCEPTION REVIEW","OK")))))))</x:f>
      </x:c>
    </x:row>
    <x:row r="130">
      <x:c r="H130" s="8"/>
      <x:c r="I130" t="str">
        <x:f>IF($A130="","",IF($H130="Met",1,IF($H130="Partially met",0.5,IF(OR($H130="Unmet",$H130="Unknown"),0,""))))</x:f>
      </x:c>
      <x:c r="J130" s="8"/>
      <x:c r="K130" t="str">
        <x:f>IF($A130="","",IF($J130="E4",4,IF($J130="E3",3,IF($J130="E2",2,IF($J130="E1",1,0)))))</x:f>
      </x:c>
      <x:c r="L130" s="8"/>
      <x:c r="M130" s="8"/>
      <x:c r="N130" s="8"/>
      <x:c r="O130" s="8"/>
      <x:c r="P130" s="8"/>
      <x:c r="Q130" t="str">
        <x:f>IF($A130="","",IF($D130="Baseline",1,IF($D130="Elevated",IF(OR('Profile'!$B$11="Elevated",'Profile'!$B$11="Critical"),1,0),IF($D130="Critical",IF('Profile'!$B$11="Critical",1,0),1))))</x:f>
      </x:c>
      <x:c r="R130" t="str">
        <x:f>IF($A130="","",IF($Q130=0,0,IF($H130="N/A",0,IF($H130="Met",IF(AND($K130&gt;=VALUE(RIGHT($G130,1)),$L130="Yes"),1,0),IF($H130="Partially met",IF(AND($K130&gt;=1,$L130="Yes"),0.5,0),0)))))</x:f>
      </x:c>
      <x:c r="S130" t="str">
        <x:f>IF($A130="","",IF($Q130=0,0,IF($H130="N/A",IF(AND($P130&lt;&gt;"",$O130&lt;&gt;"",IFERROR(VLOOKUP($O130,'Exceptions'!$A$5:$M$204,2,FALSE),"")="N/A determination",IFERROR(VLOOKUP($O130,'Exceptions'!$A$5:$M$204,13,FALSE),"")="Active",IFERROR(ISNUMBER(SEARCH($A130,IFERROR(VLOOKUP($O130,'Exceptions'!$A$5:$M$204,3,FALSE),""))),FALSE)),0,1),1)))</x:f>
      </x:c>
      <x:c r="T130" t="str">
        <x:f>IF($A130="","",IF($C130="","",IF($H130="N/A",IF(AND($P130&lt;&gt;"",$O130&lt;&gt;"",IFERROR(VLOOKUP($O130,'Exceptions'!$A$5:$M$204,2,FALSE),"")="N/A determination",IFERROR(VLOOKUP($O130,'Exceptions'!$A$5:$M$204,13,FALSE),"")="Active",IFERROR(ISNUMBER(SEARCH($A130,IFERROR(VLOOKUP($O130,'Exceptions'!$A$5:$M$204,3,FALSE),""))),FALSE)),"N/A","FAIL"),IF(OR($H130="Unknown",$H130="",$K130=0,$L130&lt;&gt;"Yes"),"UNKNOWN",IF($H130="Met",IF($K130&gt;=VALUE(RIGHT($G130,1)),"PASS","UNKNOWN"),IF(OR($H130="Partially met",$H130="Unmet"),"FAIL","UNKNOWN"))))))</x:f>
      </x:c>
      <x:c r="U130" t="str">
        <x:f>IF($A130="","",IF($S130=0,0,IF(AND($K130&gt;=1,$L130="Yes"),1,0)))</x:f>
      </x:c>
      <x:c r="V130" t="str">
        <x:f>IF($A130="","",IF(OR($S130=0,$H130="N/A",$L130&lt;&gt;"Yes"),0,$K130))</x:f>
      </x:c>
      <x:c r="AB130" t="str">
        <x:f>IF($A130="","",IF(AND($Q130=1,$H130="N/A",NOT(AND($P130&lt;&gt;"",$O130&lt;&gt;"",IFERROR(VLOOKUP($O130,'Exceptions'!$A$5:$M$204,2,FALSE),"")="N/A determination",IFERROR(VLOOKUP($O130,'Exceptions'!$A$5:$M$204,13,FALSE),"")="Active",IFERROR(ISNUMBER(SEARCH($A130,IFERROR(VLOOKUP($O130,'Exceptions'!$A$5:$M$204,3,FALSE),""))),FALSE)))),"MISSING OR INVALID N/A DECISION",IF(AND($Q130=1,OR($H130="Partially met",$H130="Unmet"),OR($K130&lt;1,$L130&lt;&gt;"Yes")),"KNOWN RATING NEEDS FRESH E1",IF(AND($Q130=1,$H130="Met",OR($K130&lt;VALUE(RIGHT($G130,1)),$L130&lt;&gt;"Yes")),"EVIDENCE BELOW MINIMUM",IF(AND($Q130=1,OR($H130="",$H130="Unknown")),"UNASSESSED",IF(AND($H130="N/A",AND($P130&lt;&gt;"",$O130&lt;&gt;"",IFERROR(VLOOKUP($O130,'Exceptions'!$A$5:$M$204,2,FALSE),"")="N/A determination",IFERROR(VLOOKUP($O130,'Exceptions'!$A$5:$M$204,13,FALSE),"")="Active",IFERROR(ISNUMBER(SEARCH($A130,IFERROR(VLOOKUP($O130,'Exceptions'!$A$5:$M$204,3,FALSE),""))),FALSE))),"N/A APPROVED",IF($O130&lt;&gt;"","EXCEPTION REVIEW","OK")))))))</x:f>
      </x:c>
    </x:row>
    <x:row r="131">
      <x:c r="H131" s="8"/>
      <x:c r="I131" t="str">
        <x:f>IF($A131="","",IF($H131="Met",1,IF($H131="Partially met",0.5,IF(OR($H131="Unmet",$H131="Unknown"),0,""))))</x:f>
      </x:c>
      <x:c r="J131" s="8"/>
      <x:c r="K131" t="str">
        <x:f>IF($A131="","",IF($J131="E4",4,IF($J131="E3",3,IF($J131="E2",2,IF($J131="E1",1,0)))))</x:f>
      </x:c>
      <x:c r="L131" s="8"/>
      <x:c r="M131" s="8"/>
      <x:c r="N131" s="8"/>
      <x:c r="O131" s="8"/>
      <x:c r="P131" s="8"/>
      <x:c r="Q131" t="str">
        <x:f>IF($A131="","",IF($D131="Baseline",1,IF($D131="Elevated",IF(OR('Profile'!$B$11="Elevated",'Profile'!$B$11="Critical"),1,0),IF($D131="Critical",IF('Profile'!$B$11="Critical",1,0),1))))</x:f>
      </x:c>
      <x:c r="R131" t="str">
        <x:f>IF($A131="","",IF($Q131=0,0,IF($H131="N/A",0,IF($H131="Met",IF(AND($K131&gt;=VALUE(RIGHT($G131,1)),$L131="Yes"),1,0),IF($H131="Partially met",IF(AND($K131&gt;=1,$L131="Yes"),0.5,0),0)))))</x:f>
      </x:c>
      <x:c r="S131" t="str">
        <x:f>IF($A131="","",IF($Q131=0,0,IF($H131="N/A",IF(AND($P131&lt;&gt;"",$O131&lt;&gt;"",IFERROR(VLOOKUP($O131,'Exceptions'!$A$5:$M$204,2,FALSE),"")="N/A determination",IFERROR(VLOOKUP($O131,'Exceptions'!$A$5:$M$204,13,FALSE),"")="Active",IFERROR(ISNUMBER(SEARCH($A131,IFERROR(VLOOKUP($O131,'Exceptions'!$A$5:$M$204,3,FALSE),""))),FALSE)),0,1),1)))</x:f>
      </x:c>
      <x:c r="T131" t="str">
        <x:f>IF($A131="","",IF($C131="","",IF($H131="N/A",IF(AND($P131&lt;&gt;"",$O131&lt;&gt;"",IFERROR(VLOOKUP($O131,'Exceptions'!$A$5:$M$204,2,FALSE),"")="N/A determination",IFERROR(VLOOKUP($O131,'Exceptions'!$A$5:$M$204,13,FALSE),"")="Active",IFERROR(ISNUMBER(SEARCH($A131,IFERROR(VLOOKUP($O131,'Exceptions'!$A$5:$M$204,3,FALSE),""))),FALSE)),"N/A","FAIL"),IF(OR($H131="Unknown",$H131="",$K131=0,$L131&lt;&gt;"Yes"),"UNKNOWN",IF($H131="Met",IF($K131&gt;=VALUE(RIGHT($G131,1)),"PASS","UNKNOWN"),IF(OR($H131="Partially met",$H131="Unmet"),"FAIL","UNKNOWN"))))))</x:f>
      </x:c>
      <x:c r="U131" t="str">
        <x:f>IF($A131="","",IF($S131=0,0,IF(AND($K131&gt;=1,$L131="Yes"),1,0)))</x:f>
      </x:c>
      <x:c r="V131" t="str">
        <x:f>IF($A131="","",IF(OR($S131=0,$H131="N/A",$L131&lt;&gt;"Yes"),0,$K131))</x:f>
      </x:c>
      <x:c r="AB131" t="str">
        <x:f>IF($A131="","",IF(AND($Q131=1,$H131="N/A",NOT(AND($P131&lt;&gt;"",$O131&lt;&gt;"",IFERROR(VLOOKUP($O131,'Exceptions'!$A$5:$M$204,2,FALSE),"")="N/A determination",IFERROR(VLOOKUP($O131,'Exceptions'!$A$5:$M$204,13,FALSE),"")="Active",IFERROR(ISNUMBER(SEARCH($A131,IFERROR(VLOOKUP($O131,'Exceptions'!$A$5:$M$204,3,FALSE),""))),FALSE)))),"MISSING OR INVALID N/A DECISION",IF(AND($Q131=1,OR($H131="Partially met",$H131="Unmet"),OR($K131&lt;1,$L131&lt;&gt;"Yes")),"KNOWN RATING NEEDS FRESH E1",IF(AND($Q131=1,$H131="Met",OR($K131&lt;VALUE(RIGHT($G131,1)),$L131&lt;&gt;"Yes")),"EVIDENCE BELOW MINIMUM",IF(AND($Q131=1,OR($H131="",$H131="Unknown")),"UNASSESSED",IF(AND($H131="N/A",AND($P131&lt;&gt;"",$O131&lt;&gt;"",IFERROR(VLOOKUP($O131,'Exceptions'!$A$5:$M$204,2,FALSE),"")="N/A determination",IFERROR(VLOOKUP($O131,'Exceptions'!$A$5:$M$204,13,FALSE),"")="Active",IFERROR(ISNUMBER(SEARCH($A131,IFERROR(VLOOKUP($O131,'Exceptions'!$A$5:$M$204,3,FALSE),""))),FALSE))),"N/A APPROVED",IF($O131&lt;&gt;"","EXCEPTION REVIEW","OK")))))))</x:f>
      </x:c>
    </x:row>
    <x:row r="132">
      <x:c r="H132" s="8"/>
      <x:c r="I132" t="str">
        <x:f>IF($A132="","",IF($H132="Met",1,IF($H132="Partially met",0.5,IF(OR($H132="Unmet",$H132="Unknown"),0,""))))</x:f>
      </x:c>
      <x:c r="J132" s="8"/>
      <x:c r="K132" t="str">
        <x:f>IF($A132="","",IF($J132="E4",4,IF($J132="E3",3,IF($J132="E2",2,IF($J132="E1",1,0)))))</x:f>
      </x:c>
      <x:c r="L132" s="8"/>
      <x:c r="M132" s="8"/>
      <x:c r="N132" s="8"/>
      <x:c r="O132" s="8"/>
      <x:c r="P132" s="8"/>
      <x:c r="Q132" t="str">
        <x:f>IF($A132="","",IF($D132="Baseline",1,IF($D132="Elevated",IF(OR('Profile'!$B$11="Elevated",'Profile'!$B$11="Critical"),1,0),IF($D132="Critical",IF('Profile'!$B$11="Critical",1,0),1))))</x:f>
      </x:c>
      <x:c r="R132" t="str">
        <x:f>IF($A132="","",IF($Q132=0,0,IF($H132="N/A",0,IF($H132="Met",IF(AND($K132&gt;=VALUE(RIGHT($G132,1)),$L132="Yes"),1,0),IF($H132="Partially met",IF(AND($K132&gt;=1,$L132="Yes"),0.5,0),0)))))</x:f>
      </x:c>
      <x:c r="S132" t="str">
        <x:f>IF($A132="","",IF($Q132=0,0,IF($H132="N/A",IF(AND($P132&lt;&gt;"",$O132&lt;&gt;"",IFERROR(VLOOKUP($O132,'Exceptions'!$A$5:$M$204,2,FALSE),"")="N/A determination",IFERROR(VLOOKUP($O132,'Exceptions'!$A$5:$M$204,13,FALSE),"")="Active",IFERROR(ISNUMBER(SEARCH($A132,IFERROR(VLOOKUP($O132,'Exceptions'!$A$5:$M$204,3,FALSE),""))),FALSE)),0,1),1)))</x:f>
      </x:c>
      <x:c r="T132" t="str">
        <x:f>IF($A132="","",IF($C132="","",IF($H132="N/A",IF(AND($P132&lt;&gt;"",$O132&lt;&gt;"",IFERROR(VLOOKUP($O132,'Exceptions'!$A$5:$M$204,2,FALSE),"")="N/A determination",IFERROR(VLOOKUP($O132,'Exceptions'!$A$5:$M$204,13,FALSE),"")="Active",IFERROR(ISNUMBER(SEARCH($A132,IFERROR(VLOOKUP($O132,'Exceptions'!$A$5:$M$204,3,FALSE),""))),FALSE)),"N/A","FAIL"),IF(OR($H132="Unknown",$H132="",$K132=0,$L132&lt;&gt;"Yes"),"UNKNOWN",IF($H132="Met",IF($K132&gt;=VALUE(RIGHT($G132,1)),"PASS","UNKNOWN"),IF(OR($H132="Partially met",$H132="Unmet"),"FAIL","UNKNOWN"))))))</x:f>
      </x:c>
      <x:c r="U132" t="str">
        <x:f>IF($A132="","",IF($S132=0,0,IF(AND($K132&gt;=1,$L132="Yes"),1,0)))</x:f>
      </x:c>
      <x:c r="V132" t="str">
        <x:f>IF($A132="","",IF(OR($S132=0,$H132="N/A",$L132&lt;&gt;"Yes"),0,$K132))</x:f>
      </x:c>
      <x:c r="AB132" t="str">
        <x:f>IF($A132="","",IF(AND($Q132=1,$H132="N/A",NOT(AND($P132&lt;&gt;"",$O132&lt;&gt;"",IFERROR(VLOOKUP($O132,'Exceptions'!$A$5:$M$204,2,FALSE),"")="N/A determination",IFERROR(VLOOKUP($O132,'Exceptions'!$A$5:$M$204,13,FALSE),"")="Active",IFERROR(ISNUMBER(SEARCH($A132,IFERROR(VLOOKUP($O132,'Exceptions'!$A$5:$M$204,3,FALSE),""))),FALSE)))),"MISSING OR INVALID N/A DECISION",IF(AND($Q132=1,OR($H132="Partially met",$H132="Unmet"),OR($K132&lt;1,$L132&lt;&gt;"Yes")),"KNOWN RATING NEEDS FRESH E1",IF(AND($Q132=1,$H132="Met",OR($K132&lt;VALUE(RIGHT($G132,1)),$L132&lt;&gt;"Yes")),"EVIDENCE BELOW MINIMUM",IF(AND($Q132=1,OR($H132="",$H132="Unknown")),"UNASSESSED",IF(AND($H132="N/A",AND($P132&lt;&gt;"",$O132&lt;&gt;"",IFERROR(VLOOKUP($O132,'Exceptions'!$A$5:$M$204,2,FALSE),"")="N/A determination",IFERROR(VLOOKUP($O132,'Exceptions'!$A$5:$M$204,13,FALSE),"")="Active",IFERROR(ISNUMBER(SEARCH($A132,IFERROR(VLOOKUP($O132,'Exceptions'!$A$5:$M$204,3,FALSE),""))),FALSE))),"N/A APPROVED",IF($O132&lt;&gt;"","EXCEPTION REVIEW","OK")))))))</x:f>
      </x:c>
    </x:row>
    <x:row r="133">
      <x:c r="H133" s="8"/>
      <x:c r="I133" t="str">
        <x:f>IF($A133="","",IF($H133="Met",1,IF($H133="Partially met",0.5,IF(OR($H133="Unmet",$H133="Unknown"),0,""))))</x:f>
      </x:c>
      <x:c r="J133" s="8"/>
      <x:c r="K133" t="str">
        <x:f>IF($A133="","",IF($J133="E4",4,IF($J133="E3",3,IF($J133="E2",2,IF($J133="E1",1,0)))))</x:f>
      </x:c>
      <x:c r="L133" s="8"/>
      <x:c r="M133" s="8"/>
      <x:c r="N133" s="8"/>
      <x:c r="O133" s="8"/>
      <x:c r="P133" s="8"/>
      <x:c r="Q133" t="str">
        <x:f>IF($A133="","",IF($D133="Baseline",1,IF($D133="Elevated",IF(OR('Profile'!$B$11="Elevated",'Profile'!$B$11="Critical"),1,0),IF($D133="Critical",IF('Profile'!$B$11="Critical",1,0),1))))</x:f>
      </x:c>
      <x:c r="R133" t="str">
        <x:f>IF($A133="","",IF($Q133=0,0,IF($H133="N/A",0,IF($H133="Met",IF(AND($K133&gt;=VALUE(RIGHT($G133,1)),$L133="Yes"),1,0),IF($H133="Partially met",IF(AND($K133&gt;=1,$L133="Yes"),0.5,0),0)))))</x:f>
      </x:c>
      <x:c r="S133" t="str">
        <x:f>IF($A133="","",IF($Q133=0,0,IF($H133="N/A",IF(AND($P133&lt;&gt;"",$O133&lt;&gt;"",IFERROR(VLOOKUP($O133,'Exceptions'!$A$5:$M$204,2,FALSE),"")="N/A determination",IFERROR(VLOOKUP($O133,'Exceptions'!$A$5:$M$204,13,FALSE),"")="Active",IFERROR(ISNUMBER(SEARCH($A133,IFERROR(VLOOKUP($O133,'Exceptions'!$A$5:$M$204,3,FALSE),""))),FALSE)),0,1),1)))</x:f>
      </x:c>
      <x:c r="T133" t="str">
        <x:f>IF($A133="","",IF($C133="","",IF($H133="N/A",IF(AND($P133&lt;&gt;"",$O133&lt;&gt;"",IFERROR(VLOOKUP($O133,'Exceptions'!$A$5:$M$204,2,FALSE),"")="N/A determination",IFERROR(VLOOKUP($O133,'Exceptions'!$A$5:$M$204,13,FALSE),"")="Active",IFERROR(ISNUMBER(SEARCH($A133,IFERROR(VLOOKUP($O133,'Exceptions'!$A$5:$M$204,3,FALSE),""))),FALSE)),"N/A","FAIL"),IF(OR($H133="Unknown",$H133="",$K133=0,$L133&lt;&gt;"Yes"),"UNKNOWN",IF($H133="Met",IF($K133&gt;=VALUE(RIGHT($G133,1)),"PASS","UNKNOWN"),IF(OR($H133="Partially met",$H133="Unmet"),"FAIL","UNKNOWN"))))))</x:f>
      </x:c>
      <x:c r="U133" t="str">
        <x:f>IF($A133="","",IF($S133=0,0,IF(AND($K133&gt;=1,$L133="Yes"),1,0)))</x:f>
      </x:c>
      <x:c r="V133" t="str">
        <x:f>IF($A133="","",IF(OR($S133=0,$H133="N/A",$L133&lt;&gt;"Yes"),0,$K133))</x:f>
      </x:c>
      <x:c r="AB133" t="str">
        <x:f>IF($A133="","",IF(AND($Q133=1,$H133="N/A",NOT(AND($P133&lt;&gt;"",$O133&lt;&gt;"",IFERROR(VLOOKUP($O133,'Exceptions'!$A$5:$M$204,2,FALSE),"")="N/A determination",IFERROR(VLOOKUP($O133,'Exceptions'!$A$5:$M$204,13,FALSE),"")="Active",IFERROR(ISNUMBER(SEARCH($A133,IFERROR(VLOOKUP($O133,'Exceptions'!$A$5:$M$204,3,FALSE),""))),FALSE)))),"MISSING OR INVALID N/A DECISION",IF(AND($Q133=1,OR($H133="Partially met",$H133="Unmet"),OR($K133&lt;1,$L133&lt;&gt;"Yes")),"KNOWN RATING NEEDS FRESH E1",IF(AND($Q133=1,$H133="Met",OR($K133&lt;VALUE(RIGHT($G133,1)),$L133&lt;&gt;"Yes")),"EVIDENCE BELOW MINIMUM",IF(AND($Q133=1,OR($H133="",$H133="Unknown")),"UNASSESSED",IF(AND($H133="N/A",AND($P133&lt;&gt;"",$O133&lt;&gt;"",IFERROR(VLOOKUP($O133,'Exceptions'!$A$5:$M$204,2,FALSE),"")="N/A determination",IFERROR(VLOOKUP($O133,'Exceptions'!$A$5:$M$204,13,FALSE),"")="Active",IFERROR(ISNUMBER(SEARCH($A133,IFERROR(VLOOKUP($O133,'Exceptions'!$A$5:$M$204,3,FALSE),""))),FALSE))),"N/A APPROVED",IF($O133&lt;&gt;"","EXCEPTION REVIEW","OK")))))))</x:f>
      </x:c>
    </x:row>
    <x:row r="134">
      <x:c r="H134" s="8"/>
      <x:c r="I134" t="str">
        <x:f>IF($A134="","",IF($H134="Met",1,IF($H134="Partially met",0.5,IF(OR($H134="Unmet",$H134="Unknown"),0,""))))</x:f>
      </x:c>
      <x:c r="J134" s="8"/>
      <x:c r="K134" t="str">
        <x:f>IF($A134="","",IF($J134="E4",4,IF($J134="E3",3,IF($J134="E2",2,IF($J134="E1",1,0)))))</x:f>
      </x:c>
      <x:c r="L134" s="8"/>
      <x:c r="M134" s="8"/>
      <x:c r="N134" s="8"/>
      <x:c r="O134" s="8"/>
      <x:c r="P134" s="8"/>
      <x:c r="Q134" t="str">
        <x:f>IF($A134="","",IF($D134="Baseline",1,IF($D134="Elevated",IF(OR('Profile'!$B$11="Elevated",'Profile'!$B$11="Critical"),1,0),IF($D134="Critical",IF('Profile'!$B$11="Critical",1,0),1))))</x:f>
      </x:c>
      <x:c r="R134" t="str">
        <x:f>IF($A134="","",IF($Q134=0,0,IF($H134="N/A",0,IF($H134="Met",IF(AND($K134&gt;=VALUE(RIGHT($G134,1)),$L134="Yes"),1,0),IF($H134="Partially met",IF(AND($K134&gt;=1,$L134="Yes"),0.5,0),0)))))</x:f>
      </x:c>
      <x:c r="S134" t="str">
        <x:f>IF($A134="","",IF($Q134=0,0,IF($H134="N/A",IF(AND($P134&lt;&gt;"",$O134&lt;&gt;"",IFERROR(VLOOKUP($O134,'Exceptions'!$A$5:$M$204,2,FALSE),"")="N/A determination",IFERROR(VLOOKUP($O134,'Exceptions'!$A$5:$M$204,13,FALSE),"")="Active",IFERROR(ISNUMBER(SEARCH($A134,IFERROR(VLOOKUP($O134,'Exceptions'!$A$5:$M$204,3,FALSE),""))),FALSE)),0,1),1)))</x:f>
      </x:c>
      <x:c r="T134" t="str">
        <x:f>IF($A134="","",IF($C134="","",IF($H134="N/A",IF(AND($P134&lt;&gt;"",$O134&lt;&gt;"",IFERROR(VLOOKUP($O134,'Exceptions'!$A$5:$M$204,2,FALSE),"")="N/A determination",IFERROR(VLOOKUP($O134,'Exceptions'!$A$5:$M$204,13,FALSE),"")="Active",IFERROR(ISNUMBER(SEARCH($A134,IFERROR(VLOOKUP($O134,'Exceptions'!$A$5:$M$204,3,FALSE),""))),FALSE)),"N/A","FAIL"),IF(OR($H134="Unknown",$H134="",$K134=0,$L134&lt;&gt;"Yes"),"UNKNOWN",IF($H134="Met",IF($K134&gt;=VALUE(RIGHT($G134,1)),"PASS","UNKNOWN"),IF(OR($H134="Partially met",$H134="Unmet"),"FAIL","UNKNOWN"))))))</x:f>
      </x:c>
      <x:c r="U134" t="str">
        <x:f>IF($A134="","",IF($S134=0,0,IF(AND($K134&gt;=1,$L134="Yes"),1,0)))</x:f>
      </x:c>
      <x:c r="V134" t="str">
        <x:f>IF($A134="","",IF(OR($S134=0,$H134="N/A",$L134&lt;&gt;"Yes"),0,$K134))</x:f>
      </x:c>
      <x:c r="AB134" t="str">
        <x:f>IF($A134="","",IF(AND($Q134=1,$H134="N/A",NOT(AND($P134&lt;&gt;"",$O134&lt;&gt;"",IFERROR(VLOOKUP($O134,'Exceptions'!$A$5:$M$204,2,FALSE),"")="N/A determination",IFERROR(VLOOKUP($O134,'Exceptions'!$A$5:$M$204,13,FALSE),"")="Active",IFERROR(ISNUMBER(SEARCH($A134,IFERROR(VLOOKUP($O134,'Exceptions'!$A$5:$M$204,3,FALSE),""))),FALSE)))),"MISSING OR INVALID N/A DECISION",IF(AND($Q134=1,OR($H134="Partially met",$H134="Unmet"),OR($K134&lt;1,$L134&lt;&gt;"Yes")),"KNOWN RATING NEEDS FRESH E1",IF(AND($Q134=1,$H134="Met",OR($K134&lt;VALUE(RIGHT($G134,1)),$L134&lt;&gt;"Yes")),"EVIDENCE BELOW MINIMUM",IF(AND($Q134=1,OR($H134="",$H134="Unknown")),"UNASSESSED",IF(AND($H134="N/A",AND($P134&lt;&gt;"",$O134&lt;&gt;"",IFERROR(VLOOKUP($O134,'Exceptions'!$A$5:$M$204,2,FALSE),"")="N/A determination",IFERROR(VLOOKUP($O134,'Exceptions'!$A$5:$M$204,13,FALSE),"")="Active",IFERROR(ISNUMBER(SEARCH($A134,IFERROR(VLOOKUP($O134,'Exceptions'!$A$5:$M$204,3,FALSE),""))),FALSE))),"N/A APPROVED",IF($O134&lt;&gt;"","EXCEPTION REVIEW","OK")))))))</x:f>
      </x:c>
    </x:row>
    <x:row r="135">
      <x:c r="H135" s="8"/>
      <x:c r="I135" t="str">
        <x:f>IF($A135="","",IF($H135="Met",1,IF($H135="Partially met",0.5,IF(OR($H135="Unmet",$H135="Unknown"),0,""))))</x:f>
      </x:c>
      <x:c r="J135" s="8"/>
      <x:c r="K135" t="str">
        <x:f>IF($A135="","",IF($J135="E4",4,IF($J135="E3",3,IF($J135="E2",2,IF($J135="E1",1,0)))))</x:f>
      </x:c>
      <x:c r="L135" s="8"/>
      <x:c r="M135" s="8"/>
      <x:c r="N135" s="8"/>
      <x:c r="O135" s="8"/>
      <x:c r="P135" s="8"/>
      <x:c r="Q135" t="str">
        <x:f>IF($A135="","",IF($D135="Baseline",1,IF($D135="Elevated",IF(OR('Profile'!$B$11="Elevated",'Profile'!$B$11="Critical"),1,0),IF($D135="Critical",IF('Profile'!$B$11="Critical",1,0),1))))</x:f>
      </x:c>
      <x:c r="R135" t="str">
        <x:f>IF($A135="","",IF($Q135=0,0,IF($H135="N/A",0,IF($H135="Met",IF(AND($K135&gt;=VALUE(RIGHT($G135,1)),$L135="Yes"),1,0),IF($H135="Partially met",IF(AND($K135&gt;=1,$L135="Yes"),0.5,0),0)))))</x:f>
      </x:c>
      <x:c r="S135" t="str">
        <x:f>IF($A135="","",IF($Q135=0,0,IF($H135="N/A",IF(AND($P135&lt;&gt;"",$O135&lt;&gt;"",IFERROR(VLOOKUP($O135,'Exceptions'!$A$5:$M$204,2,FALSE),"")="N/A determination",IFERROR(VLOOKUP($O135,'Exceptions'!$A$5:$M$204,13,FALSE),"")="Active",IFERROR(ISNUMBER(SEARCH($A135,IFERROR(VLOOKUP($O135,'Exceptions'!$A$5:$M$204,3,FALSE),""))),FALSE)),0,1),1)))</x:f>
      </x:c>
      <x:c r="T135" t="str">
        <x:f>IF($A135="","",IF($C135="","",IF($H135="N/A",IF(AND($P135&lt;&gt;"",$O135&lt;&gt;"",IFERROR(VLOOKUP($O135,'Exceptions'!$A$5:$M$204,2,FALSE),"")="N/A determination",IFERROR(VLOOKUP($O135,'Exceptions'!$A$5:$M$204,13,FALSE),"")="Active",IFERROR(ISNUMBER(SEARCH($A135,IFERROR(VLOOKUP($O135,'Exceptions'!$A$5:$M$204,3,FALSE),""))),FALSE)),"N/A","FAIL"),IF(OR($H135="Unknown",$H135="",$K135=0,$L135&lt;&gt;"Yes"),"UNKNOWN",IF($H135="Met",IF($K135&gt;=VALUE(RIGHT($G135,1)),"PASS","UNKNOWN"),IF(OR($H135="Partially met",$H135="Unmet"),"FAIL","UNKNOWN"))))))</x:f>
      </x:c>
      <x:c r="U135" t="str">
        <x:f>IF($A135="","",IF($S135=0,0,IF(AND($K135&gt;=1,$L135="Yes"),1,0)))</x:f>
      </x:c>
      <x:c r="V135" t="str">
        <x:f>IF($A135="","",IF(OR($S135=0,$H135="N/A",$L135&lt;&gt;"Yes"),0,$K135))</x:f>
      </x:c>
      <x:c r="AB135" t="str">
        <x:f>IF($A135="","",IF(AND($Q135=1,$H135="N/A",NOT(AND($P135&lt;&gt;"",$O135&lt;&gt;"",IFERROR(VLOOKUP($O135,'Exceptions'!$A$5:$M$204,2,FALSE),"")="N/A determination",IFERROR(VLOOKUP($O135,'Exceptions'!$A$5:$M$204,13,FALSE),"")="Active",IFERROR(ISNUMBER(SEARCH($A135,IFERROR(VLOOKUP($O135,'Exceptions'!$A$5:$M$204,3,FALSE),""))),FALSE)))),"MISSING OR INVALID N/A DECISION",IF(AND($Q135=1,OR($H135="Partially met",$H135="Unmet"),OR($K135&lt;1,$L135&lt;&gt;"Yes")),"KNOWN RATING NEEDS FRESH E1",IF(AND($Q135=1,$H135="Met",OR($K135&lt;VALUE(RIGHT($G135,1)),$L135&lt;&gt;"Yes")),"EVIDENCE BELOW MINIMUM",IF(AND($Q135=1,OR($H135="",$H135="Unknown")),"UNASSESSED",IF(AND($H135="N/A",AND($P135&lt;&gt;"",$O135&lt;&gt;"",IFERROR(VLOOKUP($O135,'Exceptions'!$A$5:$M$204,2,FALSE),"")="N/A determination",IFERROR(VLOOKUP($O135,'Exceptions'!$A$5:$M$204,13,FALSE),"")="Active",IFERROR(ISNUMBER(SEARCH($A135,IFERROR(VLOOKUP($O135,'Exceptions'!$A$5:$M$204,3,FALSE),""))),FALSE))),"N/A APPROVED",IF($O135&lt;&gt;"","EXCEPTION REVIEW","OK")))))))</x:f>
      </x:c>
    </x:row>
    <x:row r="136">
      <x:c r="H136" s="8"/>
      <x:c r="I136" t="str">
        <x:f>IF($A136="","",IF($H136="Met",1,IF($H136="Partially met",0.5,IF(OR($H136="Unmet",$H136="Unknown"),0,""))))</x:f>
      </x:c>
      <x:c r="J136" s="8"/>
      <x:c r="K136" t="str">
        <x:f>IF($A136="","",IF($J136="E4",4,IF($J136="E3",3,IF($J136="E2",2,IF($J136="E1",1,0)))))</x:f>
      </x:c>
      <x:c r="L136" s="8"/>
      <x:c r="M136" s="8"/>
      <x:c r="N136" s="8"/>
      <x:c r="O136" s="8"/>
      <x:c r="P136" s="8"/>
      <x:c r="Q136" t="str">
        <x:f>IF($A136="","",IF($D136="Baseline",1,IF($D136="Elevated",IF(OR('Profile'!$B$11="Elevated",'Profile'!$B$11="Critical"),1,0),IF($D136="Critical",IF('Profile'!$B$11="Critical",1,0),1))))</x:f>
      </x:c>
      <x:c r="R136" t="str">
        <x:f>IF($A136="","",IF($Q136=0,0,IF($H136="N/A",0,IF($H136="Met",IF(AND($K136&gt;=VALUE(RIGHT($G136,1)),$L136="Yes"),1,0),IF($H136="Partially met",IF(AND($K136&gt;=1,$L136="Yes"),0.5,0),0)))))</x:f>
      </x:c>
      <x:c r="S136" t="str">
        <x:f>IF($A136="","",IF($Q136=0,0,IF($H136="N/A",IF(AND($P136&lt;&gt;"",$O136&lt;&gt;"",IFERROR(VLOOKUP($O136,'Exceptions'!$A$5:$M$204,2,FALSE),"")="N/A determination",IFERROR(VLOOKUP($O136,'Exceptions'!$A$5:$M$204,13,FALSE),"")="Active",IFERROR(ISNUMBER(SEARCH($A136,IFERROR(VLOOKUP($O136,'Exceptions'!$A$5:$M$204,3,FALSE),""))),FALSE)),0,1),1)))</x:f>
      </x:c>
      <x:c r="T136" t="str">
        <x:f>IF($A136="","",IF($C136="","",IF($H136="N/A",IF(AND($P136&lt;&gt;"",$O136&lt;&gt;"",IFERROR(VLOOKUP($O136,'Exceptions'!$A$5:$M$204,2,FALSE),"")="N/A determination",IFERROR(VLOOKUP($O136,'Exceptions'!$A$5:$M$204,13,FALSE),"")="Active",IFERROR(ISNUMBER(SEARCH($A136,IFERROR(VLOOKUP($O136,'Exceptions'!$A$5:$M$204,3,FALSE),""))),FALSE)),"N/A","FAIL"),IF(OR($H136="Unknown",$H136="",$K136=0,$L136&lt;&gt;"Yes"),"UNKNOWN",IF($H136="Met",IF($K136&gt;=VALUE(RIGHT($G136,1)),"PASS","UNKNOWN"),IF(OR($H136="Partially met",$H136="Unmet"),"FAIL","UNKNOWN"))))))</x:f>
      </x:c>
      <x:c r="U136" t="str">
        <x:f>IF($A136="","",IF($S136=0,0,IF(AND($K136&gt;=1,$L136="Yes"),1,0)))</x:f>
      </x:c>
      <x:c r="V136" t="str">
        <x:f>IF($A136="","",IF(OR($S136=0,$H136="N/A",$L136&lt;&gt;"Yes"),0,$K136))</x:f>
      </x:c>
      <x:c r="AB136" t="str">
        <x:f>IF($A136="","",IF(AND($Q136=1,$H136="N/A",NOT(AND($P136&lt;&gt;"",$O136&lt;&gt;"",IFERROR(VLOOKUP($O136,'Exceptions'!$A$5:$M$204,2,FALSE),"")="N/A determination",IFERROR(VLOOKUP($O136,'Exceptions'!$A$5:$M$204,13,FALSE),"")="Active",IFERROR(ISNUMBER(SEARCH($A136,IFERROR(VLOOKUP($O136,'Exceptions'!$A$5:$M$204,3,FALSE),""))),FALSE)))),"MISSING OR INVALID N/A DECISION",IF(AND($Q136=1,OR($H136="Partially met",$H136="Unmet"),OR($K136&lt;1,$L136&lt;&gt;"Yes")),"KNOWN RATING NEEDS FRESH E1",IF(AND($Q136=1,$H136="Met",OR($K136&lt;VALUE(RIGHT($G136,1)),$L136&lt;&gt;"Yes")),"EVIDENCE BELOW MINIMUM",IF(AND($Q136=1,OR($H136="",$H136="Unknown")),"UNASSESSED",IF(AND($H136="N/A",AND($P136&lt;&gt;"",$O136&lt;&gt;"",IFERROR(VLOOKUP($O136,'Exceptions'!$A$5:$M$204,2,FALSE),"")="N/A determination",IFERROR(VLOOKUP($O136,'Exceptions'!$A$5:$M$204,13,FALSE),"")="Active",IFERROR(ISNUMBER(SEARCH($A136,IFERROR(VLOOKUP($O136,'Exceptions'!$A$5:$M$204,3,FALSE),""))),FALSE))),"N/A APPROVED",IF($O136&lt;&gt;"","EXCEPTION REVIEW","OK")))))))</x:f>
      </x:c>
    </x:row>
    <x:row r="137">
      <x:c r="H137" s="8"/>
      <x:c r="I137" t="str">
        <x:f>IF($A137="","",IF($H137="Met",1,IF($H137="Partially met",0.5,IF(OR($H137="Unmet",$H137="Unknown"),0,""))))</x:f>
      </x:c>
      <x:c r="J137" s="8"/>
      <x:c r="K137" t="str">
        <x:f>IF($A137="","",IF($J137="E4",4,IF($J137="E3",3,IF($J137="E2",2,IF($J137="E1",1,0)))))</x:f>
      </x:c>
      <x:c r="L137" s="8"/>
      <x:c r="M137" s="8"/>
      <x:c r="N137" s="8"/>
      <x:c r="O137" s="8"/>
      <x:c r="P137" s="8"/>
      <x:c r="Q137" t="str">
        <x:f>IF($A137="","",IF($D137="Baseline",1,IF($D137="Elevated",IF(OR('Profile'!$B$11="Elevated",'Profile'!$B$11="Critical"),1,0),IF($D137="Critical",IF('Profile'!$B$11="Critical",1,0),1))))</x:f>
      </x:c>
      <x:c r="R137" t="str">
        <x:f>IF($A137="","",IF($Q137=0,0,IF($H137="N/A",0,IF($H137="Met",IF(AND($K137&gt;=VALUE(RIGHT($G137,1)),$L137="Yes"),1,0),IF($H137="Partially met",IF(AND($K137&gt;=1,$L137="Yes"),0.5,0),0)))))</x:f>
      </x:c>
      <x:c r="S137" t="str">
        <x:f>IF($A137="","",IF($Q137=0,0,IF($H137="N/A",IF(AND($P137&lt;&gt;"",$O137&lt;&gt;"",IFERROR(VLOOKUP($O137,'Exceptions'!$A$5:$M$204,2,FALSE),"")="N/A determination",IFERROR(VLOOKUP($O137,'Exceptions'!$A$5:$M$204,13,FALSE),"")="Active",IFERROR(ISNUMBER(SEARCH($A137,IFERROR(VLOOKUP($O137,'Exceptions'!$A$5:$M$204,3,FALSE),""))),FALSE)),0,1),1)))</x:f>
      </x:c>
      <x:c r="T137" t="str">
        <x:f>IF($A137="","",IF($C137="","",IF($H137="N/A",IF(AND($P137&lt;&gt;"",$O137&lt;&gt;"",IFERROR(VLOOKUP($O137,'Exceptions'!$A$5:$M$204,2,FALSE),"")="N/A determination",IFERROR(VLOOKUP($O137,'Exceptions'!$A$5:$M$204,13,FALSE),"")="Active",IFERROR(ISNUMBER(SEARCH($A137,IFERROR(VLOOKUP($O137,'Exceptions'!$A$5:$M$204,3,FALSE),""))),FALSE)),"N/A","FAIL"),IF(OR($H137="Unknown",$H137="",$K137=0,$L137&lt;&gt;"Yes"),"UNKNOWN",IF($H137="Met",IF($K137&gt;=VALUE(RIGHT($G137,1)),"PASS","UNKNOWN"),IF(OR($H137="Partially met",$H137="Unmet"),"FAIL","UNKNOWN"))))))</x:f>
      </x:c>
      <x:c r="U137" t="str">
        <x:f>IF($A137="","",IF($S137=0,0,IF(AND($K137&gt;=1,$L137="Yes"),1,0)))</x:f>
      </x:c>
      <x:c r="V137" t="str">
        <x:f>IF($A137="","",IF(OR($S137=0,$H137="N/A",$L137&lt;&gt;"Yes"),0,$K137))</x:f>
      </x:c>
      <x:c r="AB137" t="str">
        <x:f>IF($A137="","",IF(AND($Q137=1,$H137="N/A",NOT(AND($P137&lt;&gt;"",$O137&lt;&gt;"",IFERROR(VLOOKUP($O137,'Exceptions'!$A$5:$M$204,2,FALSE),"")="N/A determination",IFERROR(VLOOKUP($O137,'Exceptions'!$A$5:$M$204,13,FALSE),"")="Active",IFERROR(ISNUMBER(SEARCH($A137,IFERROR(VLOOKUP($O137,'Exceptions'!$A$5:$M$204,3,FALSE),""))),FALSE)))),"MISSING OR INVALID N/A DECISION",IF(AND($Q137=1,OR($H137="Partially met",$H137="Unmet"),OR($K137&lt;1,$L137&lt;&gt;"Yes")),"KNOWN RATING NEEDS FRESH E1",IF(AND($Q137=1,$H137="Met",OR($K137&lt;VALUE(RIGHT($G137,1)),$L137&lt;&gt;"Yes")),"EVIDENCE BELOW MINIMUM",IF(AND($Q137=1,OR($H137="",$H137="Unknown")),"UNASSESSED",IF(AND($H137="N/A",AND($P137&lt;&gt;"",$O137&lt;&gt;"",IFERROR(VLOOKUP($O137,'Exceptions'!$A$5:$M$204,2,FALSE),"")="N/A determination",IFERROR(VLOOKUP($O137,'Exceptions'!$A$5:$M$204,13,FALSE),"")="Active",IFERROR(ISNUMBER(SEARCH($A137,IFERROR(VLOOKUP($O137,'Exceptions'!$A$5:$M$204,3,FALSE),""))),FALSE))),"N/A APPROVED",IF($O137&lt;&gt;"","EXCEPTION REVIEW","OK")))))))</x:f>
      </x:c>
    </x:row>
    <x:row r="138">
      <x:c r="H138" s="8"/>
      <x:c r="I138" t="str">
        <x:f>IF($A138="","",IF($H138="Met",1,IF($H138="Partially met",0.5,IF(OR($H138="Unmet",$H138="Unknown"),0,""))))</x:f>
      </x:c>
      <x:c r="J138" s="8"/>
      <x:c r="K138" t="str">
        <x:f>IF($A138="","",IF($J138="E4",4,IF($J138="E3",3,IF($J138="E2",2,IF($J138="E1",1,0)))))</x:f>
      </x:c>
      <x:c r="L138" s="8"/>
      <x:c r="M138" s="8"/>
      <x:c r="N138" s="8"/>
      <x:c r="O138" s="8"/>
      <x:c r="P138" s="8"/>
      <x:c r="Q138" t="str">
        <x:f>IF($A138="","",IF($D138="Baseline",1,IF($D138="Elevated",IF(OR('Profile'!$B$11="Elevated",'Profile'!$B$11="Critical"),1,0),IF($D138="Critical",IF('Profile'!$B$11="Critical",1,0),1))))</x:f>
      </x:c>
      <x:c r="R138" t="str">
        <x:f>IF($A138="","",IF($Q138=0,0,IF($H138="N/A",0,IF($H138="Met",IF(AND($K138&gt;=VALUE(RIGHT($G138,1)),$L138="Yes"),1,0),IF($H138="Partially met",IF(AND($K138&gt;=1,$L138="Yes"),0.5,0),0)))))</x:f>
      </x:c>
      <x:c r="S138" t="str">
        <x:f>IF($A138="","",IF($Q138=0,0,IF($H138="N/A",IF(AND($P138&lt;&gt;"",$O138&lt;&gt;"",IFERROR(VLOOKUP($O138,'Exceptions'!$A$5:$M$204,2,FALSE),"")="N/A determination",IFERROR(VLOOKUP($O138,'Exceptions'!$A$5:$M$204,13,FALSE),"")="Active",IFERROR(ISNUMBER(SEARCH($A138,IFERROR(VLOOKUP($O138,'Exceptions'!$A$5:$M$204,3,FALSE),""))),FALSE)),0,1),1)))</x:f>
      </x:c>
      <x:c r="T138" t="str">
        <x:f>IF($A138="","",IF($C138="","",IF($H138="N/A",IF(AND($P138&lt;&gt;"",$O138&lt;&gt;"",IFERROR(VLOOKUP($O138,'Exceptions'!$A$5:$M$204,2,FALSE),"")="N/A determination",IFERROR(VLOOKUP($O138,'Exceptions'!$A$5:$M$204,13,FALSE),"")="Active",IFERROR(ISNUMBER(SEARCH($A138,IFERROR(VLOOKUP($O138,'Exceptions'!$A$5:$M$204,3,FALSE),""))),FALSE)),"N/A","FAIL"),IF(OR($H138="Unknown",$H138="",$K138=0,$L138&lt;&gt;"Yes"),"UNKNOWN",IF($H138="Met",IF($K138&gt;=VALUE(RIGHT($G138,1)),"PASS","UNKNOWN"),IF(OR($H138="Partially met",$H138="Unmet"),"FAIL","UNKNOWN"))))))</x:f>
      </x:c>
      <x:c r="U138" t="str">
        <x:f>IF($A138="","",IF($S138=0,0,IF(AND($K138&gt;=1,$L138="Yes"),1,0)))</x:f>
      </x:c>
      <x:c r="V138" t="str">
        <x:f>IF($A138="","",IF(OR($S138=0,$H138="N/A",$L138&lt;&gt;"Yes"),0,$K138))</x:f>
      </x:c>
      <x:c r="AB138" t="str">
        <x:f>IF($A138="","",IF(AND($Q138=1,$H138="N/A",NOT(AND($P138&lt;&gt;"",$O138&lt;&gt;"",IFERROR(VLOOKUP($O138,'Exceptions'!$A$5:$M$204,2,FALSE),"")="N/A determination",IFERROR(VLOOKUP($O138,'Exceptions'!$A$5:$M$204,13,FALSE),"")="Active",IFERROR(ISNUMBER(SEARCH($A138,IFERROR(VLOOKUP($O138,'Exceptions'!$A$5:$M$204,3,FALSE),""))),FALSE)))),"MISSING OR INVALID N/A DECISION",IF(AND($Q138=1,OR($H138="Partially met",$H138="Unmet"),OR($K138&lt;1,$L138&lt;&gt;"Yes")),"KNOWN RATING NEEDS FRESH E1",IF(AND($Q138=1,$H138="Met",OR($K138&lt;VALUE(RIGHT($G138,1)),$L138&lt;&gt;"Yes")),"EVIDENCE BELOW MINIMUM",IF(AND($Q138=1,OR($H138="",$H138="Unknown")),"UNASSESSED",IF(AND($H138="N/A",AND($P138&lt;&gt;"",$O138&lt;&gt;"",IFERROR(VLOOKUP($O138,'Exceptions'!$A$5:$M$204,2,FALSE),"")="N/A determination",IFERROR(VLOOKUP($O138,'Exceptions'!$A$5:$M$204,13,FALSE),"")="Active",IFERROR(ISNUMBER(SEARCH($A138,IFERROR(VLOOKUP($O138,'Exceptions'!$A$5:$M$204,3,FALSE),""))),FALSE))),"N/A APPROVED",IF($O138&lt;&gt;"","EXCEPTION REVIEW","OK")))))))</x:f>
      </x:c>
    </x:row>
    <x:row r="139">
      <x:c r="H139" s="8"/>
      <x:c r="I139" t="str">
        <x:f>IF($A139="","",IF($H139="Met",1,IF($H139="Partially met",0.5,IF(OR($H139="Unmet",$H139="Unknown"),0,""))))</x:f>
      </x:c>
      <x:c r="J139" s="8"/>
      <x:c r="K139" t="str">
        <x:f>IF($A139="","",IF($J139="E4",4,IF($J139="E3",3,IF($J139="E2",2,IF($J139="E1",1,0)))))</x:f>
      </x:c>
      <x:c r="L139" s="8"/>
      <x:c r="M139" s="8"/>
      <x:c r="N139" s="8"/>
      <x:c r="O139" s="8"/>
      <x:c r="P139" s="8"/>
      <x:c r="Q139" t="str">
        <x:f>IF($A139="","",IF($D139="Baseline",1,IF($D139="Elevated",IF(OR('Profile'!$B$11="Elevated",'Profile'!$B$11="Critical"),1,0),IF($D139="Critical",IF('Profile'!$B$11="Critical",1,0),1))))</x:f>
      </x:c>
      <x:c r="R139" t="str">
        <x:f>IF($A139="","",IF($Q139=0,0,IF($H139="N/A",0,IF($H139="Met",IF(AND($K139&gt;=VALUE(RIGHT($G139,1)),$L139="Yes"),1,0),IF($H139="Partially met",IF(AND($K139&gt;=1,$L139="Yes"),0.5,0),0)))))</x:f>
      </x:c>
      <x:c r="S139" t="str">
        <x:f>IF($A139="","",IF($Q139=0,0,IF($H139="N/A",IF(AND($P139&lt;&gt;"",$O139&lt;&gt;"",IFERROR(VLOOKUP($O139,'Exceptions'!$A$5:$M$204,2,FALSE),"")="N/A determination",IFERROR(VLOOKUP($O139,'Exceptions'!$A$5:$M$204,13,FALSE),"")="Active",IFERROR(ISNUMBER(SEARCH($A139,IFERROR(VLOOKUP($O139,'Exceptions'!$A$5:$M$204,3,FALSE),""))),FALSE)),0,1),1)))</x:f>
      </x:c>
      <x:c r="T139" t="str">
        <x:f>IF($A139="","",IF($C139="","",IF($H139="N/A",IF(AND($P139&lt;&gt;"",$O139&lt;&gt;"",IFERROR(VLOOKUP($O139,'Exceptions'!$A$5:$M$204,2,FALSE),"")="N/A determination",IFERROR(VLOOKUP($O139,'Exceptions'!$A$5:$M$204,13,FALSE),"")="Active",IFERROR(ISNUMBER(SEARCH($A139,IFERROR(VLOOKUP($O139,'Exceptions'!$A$5:$M$204,3,FALSE),""))),FALSE)),"N/A","FAIL"),IF(OR($H139="Unknown",$H139="",$K139=0,$L139&lt;&gt;"Yes"),"UNKNOWN",IF($H139="Met",IF($K139&gt;=VALUE(RIGHT($G139,1)),"PASS","UNKNOWN"),IF(OR($H139="Partially met",$H139="Unmet"),"FAIL","UNKNOWN"))))))</x:f>
      </x:c>
      <x:c r="U139" t="str">
        <x:f>IF($A139="","",IF($S139=0,0,IF(AND($K139&gt;=1,$L139="Yes"),1,0)))</x:f>
      </x:c>
      <x:c r="V139" t="str">
        <x:f>IF($A139="","",IF(OR($S139=0,$H139="N/A",$L139&lt;&gt;"Yes"),0,$K139))</x:f>
      </x:c>
      <x:c r="AB139" t="str">
        <x:f>IF($A139="","",IF(AND($Q139=1,$H139="N/A",NOT(AND($P139&lt;&gt;"",$O139&lt;&gt;"",IFERROR(VLOOKUP($O139,'Exceptions'!$A$5:$M$204,2,FALSE),"")="N/A determination",IFERROR(VLOOKUP($O139,'Exceptions'!$A$5:$M$204,13,FALSE),"")="Active",IFERROR(ISNUMBER(SEARCH($A139,IFERROR(VLOOKUP($O139,'Exceptions'!$A$5:$M$204,3,FALSE),""))),FALSE)))),"MISSING OR INVALID N/A DECISION",IF(AND($Q139=1,OR($H139="Partially met",$H139="Unmet"),OR($K139&lt;1,$L139&lt;&gt;"Yes")),"KNOWN RATING NEEDS FRESH E1",IF(AND($Q139=1,$H139="Met",OR($K139&lt;VALUE(RIGHT($G139,1)),$L139&lt;&gt;"Yes")),"EVIDENCE BELOW MINIMUM",IF(AND($Q139=1,OR($H139="",$H139="Unknown")),"UNASSESSED",IF(AND($H139="N/A",AND($P139&lt;&gt;"",$O139&lt;&gt;"",IFERROR(VLOOKUP($O139,'Exceptions'!$A$5:$M$204,2,FALSE),"")="N/A determination",IFERROR(VLOOKUP($O139,'Exceptions'!$A$5:$M$204,13,FALSE),"")="Active",IFERROR(ISNUMBER(SEARCH($A139,IFERROR(VLOOKUP($O139,'Exceptions'!$A$5:$M$204,3,FALSE),""))),FALSE))),"N/A APPROVED",IF($O139&lt;&gt;"","EXCEPTION REVIEW","OK")))))))</x:f>
      </x:c>
    </x:row>
    <x:row r="140">
      <x:c r="H140" s="8"/>
      <x:c r="I140" t="str">
        <x:f>IF($A140="","",IF($H140="Met",1,IF($H140="Partially met",0.5,IF(OR($H140="Unmet",$H140="Unknown"),0,""))))</x:f>
      </x:c>
      <x:c r="J140" s="8"/>
      <x:c r="K140" t="str">
        <x:f>IF($A140="","",IF($J140="E4",4,IF($J140="E3",3,IF($J140="E2",2,IF($J140="E1",1,0)))))</x:f>
      </x:c>
      <x:c r="L140" s="8"/>
      <x:c r="M140" s="8"/>
      <x:c r="N140" s="8"/>
      <x:c r="O140" s="8"/>
      <x:c r="P140" s="8"/>
      <x:c r="Q140" t="str">
        <x:f>IF($A140="","",IF($D140="Baseline",1,IF($D140="Elevated",IF(OR('Profile'!$B$11="Elevated",'Profile'!$B$11="Critical"),1,0),IF($D140="Critical",IF('Profile'!$B$11="Critical",1,0),1))))</x:f>
      </x:c>
      <x:c r="R140" t="str">
        <x:f>IF($A140="","",IF($Q140=0,0,IF($H140="N/A",0,IF($H140="Met",IF(AND($K140&gt;=VALUE(RIGHT($G140,1)),$L140="Yes"),1,0),IF($H140="Partially met",IF(AND($K140&gt;=1,$L140="Yes"),0.5,0),0)))))</x:f>
      </x:c>
      <x:c r="S140" t="str">
        <x:f>IF($A140="","",IF($Q140=0,0,IF($H140="N/A",IF(AND($P140&lt;&gt;"",$O140&lt;&gt;"",IFERROR(VLOOKUP($O140,'Exceptions'!$A$5:$M$204,2,FALSE),"")="N/A determination",IFERROR(VLOOKUP($O140,'Exceptions'!$A$5:$M$204,13,FALSE),"")="Active",IFERROR(ISNUMBER(SEARCH($A140,IFERROR(VLOOKUP($O140,'Exceptions'!$A$5:$M$204,3,FALSE),""))),FALSE)),0,1),1)))</x:f>
      </x:c>
      <x:c r="T140" t="str">
        <x:f>IF($A140="","",IF($C140="","",IF($H140="N/A",IF(AND($P140&lt;&gt;"",$O140&lt;&gt;"",IFERROR(VLOOKUP($O140,'Exceptions'!$A$5:$M$204,2,FALSE),"")="N/A determination",IFERROR(VLOOKUP($O140,'Exceptions'!$A$5:$M$204,13,FALSE),"")="Active",IFERROR(ISNUMBER(SEARCH($A140,IFERROR(VLOOKUP($O140,'Exceptions'!$A$5:$M$204,3,FALSE),""))),FALSE)),"N/A","FAIL"),IF(OR($H140="Unknown",$H140="",$K140=0,$L140&lt;&gt;"Yes"),"UNKNOWN",IF($H140="Met",IF($K140&gt;=VALUE(RIGHT($G140,1)),"PASS","UNKNOWN"),IF(OR($H140="Partially met",$H140="Unmet"),"FAIL","UNKNOWN"))))))</x:f>
      </x:c>
      <x:c r="U140" t="str">
        <x:f>IF($A140="","",IF($S140=0,0,IF(AND($K140&gt;=1,$L140="Yes"),1,0)))</x:f>
      </x:c>
      <x:c r="V140" t="str">
        <x:f>IF($A140="","",IF(OR($S140=0,$H140="N/A",$L140&lt;&gt;"Yes"),0,$K140))</x:f>
      </x:c>
      <x:c r="AB140" t="str">
        <x:f>IF($A140="","",IF(AND($Q140=1,$H140="N/A",NOT(AND($P140&lt;&gt;"",$O140&lt;&gt;"",IFERROR(VLOOKUP($O140,'Exceptions'!$A$5:$M$204,2,FALSE),"")="N/A determination",IFERROR(VLOOKUP($O140,'Exceptions'!$A$5:$M$204,13,FALSE),"")="Active",IFERROR(ISNUMBER(SEARCH($A140,IFERROR(VLOOKUP($O140,'Exceptions'!$A$5:$M$204,3,FALSE),""))),FALSE)))),"MISSING OR INVALID N/A DECISION",IF(AND($Q140=1,OR($H140="Partially met",$H140="Unmet"),OR($K140&lt;1,$L140&lt;&gt;"Yes")),"KNOWN RATING NEEDS FRESH E1",IF(AND($Q140=1,$H140="Met",OR($K140&lt;VALUE(RIGHT($G140,1)),$L140&lt;&gt;"Yes")),"EVIDENCE BELOW MINIMUM",IF(AND($Q140=1,OR($H140="",$H140="Unknown")),"UNASSESSED",IF(AND($H140="N/A",AND($P140&lt;&gt;"",$O140&lt;&gt;"",IFERROR(VLOOKUP($O140,'Exceptions'!$A$5:$M$204,2,FALSE),"")="N/A determination",IFERROR(VLOOKUP($O140,'Exceptions'!$A$5:$M$204,13,FALSE),"")="Active",IFERROR(ISNUMBER(SEARCH($A140,IFERROR(VLOOKUP($O140,'Exceptions'!$A$5:$M$204,3,FALSE),""))),FALSE))),"N/A APPROVED",IF($O140&lt;&gt;"","EXCEPTION REVIEW","OK")))))))</x:f>
      </x:c>
    </x:row>
    <x:row r="141">
      <x:c r="H141" s="8"/>
      <x:c r="I141" t="str">
        <x:f>IF($A141="","",IF($H141="Met",1,IF($H141="Partially met",0.5,IF(OR($H141="Unmet",$H141="Unknown"),0,""))))</x:f>
      </x:c>
      <x:c r="J141" s="8"/>
      <x:c r="K141" t="str">
        <x:f>IF($A141="","",IF($J141="E4",4,IF($J141="E3",3,IF($J141="E2",2,IF($J141="E1",1,0)))))</x:f>
      </x:c>
      <x:c r="L141" s="8"/>
      <x:c r="M141" s="8"/>
      <x:c r="N141" s="8"/>
      <x:c r="O141" s="8"/>
      <x:c r="P141" s="8"/>
      <x:c r="Q141" t="str">
        <x:f>IF($A141="","",IF($D141="Baseline",1,IF($D141="Elevated",IF(OR('Profile'!$B$11="Elevated",'Profile'!$B$11="Critical"),1,0),IF($D141="Critical",IF('Profile'!$B$11="Critical",1,0),1))))</x:f>
      </x:c>
      <x:c r="R141" t="str">
        <x:f>IF($A141="","",IF($Q141=0,0,IF($H141="N/A",0,IF($H141="Met",IF(AND($K141&gt;=VALUE(RIGHT($G141,1)),$L141="Yes"),1,0),IF($H141="Partially met",IF(AND($K141&gt;=1,$L141="Yes"),0.5,0),0)))))</x:f>
      </x:c>
      <x:c r="S141" t="str">
        <x:f>IF($A141="","",IF($Q141=0,0,IF($H141="N/A",IF(AND($P141&lt;&gt;"",$O141&lt;&gt;"",IFERROR(VLOOKUP($O141,'Exceptions'!$A$5:$M$204,2,FALSE),"")="N/A determination",IFERROR(VLOOKUP($O141,'Exceptions'!$A$5:$M$204,13,FALSE),"")="Active",IFERROR(ISNUMBER(SEARCH($A141,IFERROR(VLOOKUP($O141,'Exceptions'!$A$5:$M$204,3,FALSE),""))),FALSE)),0,1),1)))</x:f>
      </x:c>
      <x:c r="T141" t="str">
        <x:f>IF($A141="","",IF($C141="","",IF($H141="N/A",IF(AND($P141&lt;&gt;"",$O141&lt;&gt;"",IFERROR(VLOOKUP($O141,'Exceptions'!$A$5:$M$204,2,FALSE),"")="N/A determination",IFERROR(VLOOKUP($O141,'Exceptions'!$A$5:$M$204,13,FALSE),"")="Active",IFERROR(ISNUMBER(SEARCH($A141,IFERROR(VLOOKUP($O141,'Exceptions'!$A$5:$M$204,3,FALSE),""))),FALSE)),"N/A","FAIL"),IF(OR($H141="Unknown",$H141="",$K141=0,$L141&lt;&gt;"Yes"),"UNKNOWN",IF($H141="Met",IF($K141&gt;=VALUE(RIGHT($G141,1)),"PASS","UNKNOWN"),IF(OR($H141="Partially met",$H141="Unmet"),"FAIL","UNKNOWN"))))))</x:f>
      </x:c>
      <x:c r="U141" t="str">
        <x:f>IF($A141="","",IF($S141=0,0,IF(AND($K141&gt;=1,$L141="Yes"),1,0)))</x:f>
      </x:c>
      <x:c r="V141" t="str">
        <x:f>IF($A141="","",IF(OR($S141=0,$H141="N/A",$L141&lt;&gt;"Yes"),0,$K141))</x:f>
      </x:c>
      <x:c r="AB141" t="str">
        <x:f>IF($A141="","",IF(AND($Q141=1,$H141="N/A",NOT(AND($P141&lt;&gt;"",$O141&lt;&gt;"",IFERROR(VLOOKUP($O141,'Exceptions'!$A$5:$M$204,2,FALSE),"")="N/A determination",IFERROR(VLOOKUP($O141,'Exceptions'!$A$5:$M$204,13,FALSE),"")="Active",IFERROR(ISNUMBER(SEARCH($A141,IFERROR(VLOOKUP($O141,'Exceptions'!$A$5:$M$204,3,FALSE),""))),FALSE)))),"MISSING OR INVALID N/A DECISION",IF(AND($Q141=1,OR($H141="Partially met",$H141="Unmet"),OR($K141&lt;1,$L141&lt;&gt;"Yes")),"KNOWN RATING NEEDS FRESH E1",IF(AND($Q141=1,$H141="Met",OR($K141&lt;VALUE(RIGHT($G141,1)),$L141&lt;&gt;"Yes")),"EVIDENCE BELOW MINIMUM",IF(AND($Q141=1,OR($H141="",$H141="Unknown")),"UNASSESSED",IF(AND($H141="N/A",AND($P141&lt;&gt;"",$O141&lt;&gt;"",IFERROR(VLOOKUP($O141,'Exceptions'!$A$5:$M$204,2,FALSE),"")="N/A determination",IFERROR(VLOOKUP($O141,'Exceptions'!$A$5:$M$204,13,FALSE),"")="Active",IFERROR(ISNUMBER(SEARCH($A141,IFERROR(VLOOKUP($O141,'Exceptions'!$A$5:$M$204,3,FALSE),""))),FALSE))),"N/A APPROVED",IF($O141&lt;&gt;"","EXCEPTION REVIEW","OK")))))))</x:f>
      </x:c>
    </x:row>
    <x:row r="142">
      <x:c r="H142" s="8"/>
      <x:c r="I142" t="str">
        <x:f>IF($A142="","",IF($H142="Met",1,IF($H142="Partially met",0.5,IF(OR($H142="Unmet",$H142="Unknown"),0,""))))</x:f>
      </x:c>
      <x:c r="J142" s="8"/>
      <x:c r="K142" t="str">
        <x:f>IF($A142="","",IF($J142="E4",4,IF($J142="E3",3,IF($J142="E2",2,IF($J142="E1",1,0)))))</x:f>
      </x:c>
      <x:c r="L142" s="8"/>
      <x:c r="M142" s="8"/>
      <x:c r="N142" s="8"/>
      <x:c r="O142" s="8"/>
      <x:c r="P142" s="8"/>
      <x:c r="Q142" t="str">
        <x:f>IF($A142="","",IF($D142="Baseline",1,IF($D142="Elevated",IF(OR('Profile'!$B$11="Elevated",'Profile'!$B$11="Critical"),1,0),IF($D142="Critical",IF('Profile'!$B$11="Critical",1,0),1))))</x:f>
      </x:c>
      <x:c r="R142" t="str">
        <x:f>IF($A142="","",IF($Q142=0,0,IF($H142="N/A",0,IF($H142="Met",IF(AND($K142&gt;=VALUE(RIGHT($G142,1)),$L142="Yes"),1,0),IF($H142="Partially met",IF(AND($K142&gt;=1,$L142="Yes"),0.5,0),0)))))</x:f>
      </x:c>
      <x:c r="S142" t="str">
        <x:f>IF($A142="","",IF($Q142=0,0,IF($H142="N/A",IF(AND($P142&lt;&gt;"",$O142&lt;&gt;"",IFERROR(VLOOKUP($O142,'Exceptions'!$A$5:$M$204,2,FALSE),"")="N/A determination",IFERROR(VLOOKUP($O142,'Exceptions'!$A$5:$M$204,13,FALSE),"")="Active",IFERROR(ISNUMBER(SEARCH($A142,IFERROR(VLOOKUP($O142,'Exceptions'!$A$5:$M$204,3,FALSE),""))),FALSE)),0,1),1)))</x:f>
      </x:c>
      <x:c r="T142" t="str">
        <x:f>IF($A142="","",IF($C142="","",IF($H142="N/A",IF(AND($P142&lt;&gt;"",$O142&lt;&gt;"",IFERROR(VLOOKUP($O142,'Exceptions'!$A$5:$M$204,2,FALSE),"")="N/A determination",IFERROR(VLOOKUP($O142,'Exceptions'!$A$5:$M$204,13,FALSE),"")="Active",IFERROR(ISNUMBER(SEARCH($A142,IFERROR(VLOOKUP($O142,'Exceptions'!$A$5:$M$204,3,FALSE),""))),FALSE)),"N/A","FAIL"),IF(OR($H142="Unknown",$H142="",$K142=0,$L142&lt;&gt;"Yes"),"UNKNOWN",IF($H142="Met",IF($K142&gt;=VALUE(RIGHT($G142,1)),"PASS","UNKNOWN"),IF(OR($H142="Partially met",$H142="Unmet"),"FAIL","UNKNOWN"))))))</x:f>
      </x:c>
      <x:c r="U142" t="str">
        <x:f>IF($A142="","",IF($S142=0,0,IF(AND($K142&gt;=1,$L142="Yes"),1,0)))</x:f>
      </x:c>
      <x:c r="V142" t="str">
        <x:f>IF($A142="","",IF(OR($S142=0,$H142="N/A",$L142&lt;&gt;"Yes"),0,$K142))</x:f>
      </x:c>
      <x:c r="AB142" t="str">
        <x:f>IF($A142="","",IF(AND($Q142=1,$H142="N/A",NOT(AND($P142&lt;&gt;"",$O142&lt;&gt;"",IFERROR(VLOOKUP($O142,'Exceptions'!$A$5:$M$204,2,FALSE),"")="N/A determination",IFERROR(VLOOKUP($O142,'Exceptions'!$A$5:$M$204,13,FALSE),"")="Active",IFERROR(ISNUMBER(SEARCH($A142,IFERROR(VLOOKUP($O142,'Exceptions'!$A$5:$M$204,3,FALSE),""))),FALSE)))),"MISSING OR INVALID N/A DECISION",IF(AND($Q142=1,OR($H142="Partially met",$H142="Unmet"),OR($K142&lt;1,$L142&lt;&gt;"Yes")),"KNOWN RATING NEEDS FRESH E1",IF(AND($Q142=1,$H142="Met",OR($K142&lt;VALUE(RIGHT($G142,1)),$L142&lt;&gt;"Yes")),"EVIDENCE BELOW MINIMUM",IF(AND($Q142=1,OR($H142="",$H142="Unknown")),"UNASSESSED",IF(AND($H142="N/A",AND($P142&lt;&gt;"",$O142&lt;&gt;"",IFERROR(VLOOKUP($O142,'Exceptions'!$A$5:$M$204,2,FALSE),"")="N/A determination",IFERROR(VLOOKUP($O142,'Exceptions'!$A$5:$M$204,13,FALSE),"")="Active",IFERROR(ISNUMBER(SEARCH($A142,IFERROR(VLOOKUP($O142,'Exceptions'!$A$5:$M$204,3,FALSE),""))),FALSE))),"N/A APPROVED",IF($O142&lt;&gt;"","EXCEPTION REVIEW","OK")))))))</x:f>
      </x:c>
    </x:row>
    <x:row r="143">
      <x:c r="H143" s="8"/>
      <x:c r="I143" t="str">
        <x:f>IF($A143="","",IF($H143="Met",1,IF($H143="Partially met",0.5,IF(OR($H143="Unmet",$H143="Unknown"),0,""))))</x:f>
      </x:c>
      <x:c r="J143" s="8"/>
      <x:c r="K143" t="str">
        <x:f>IF($A143="","",IF($J143="E4",4,IF($J143="E3",3,IF($J143="E2",2,IF($J143="E1",1,0)))))</x:f>
      </x:c>
      <x:c r="L143" s="8"/>
      <x:c r="M143" s="8"/>
      <x:c r="N143" s="8"/>
      <x:c r="O143" s="8"/>
      <x:c r="P143" s="8"/>
      <x:c r="Q143" t="str">
        <x:f>IF($A143="","",IF($D143="Baseline",1,IF($D143="Elevated",IF(OR('Profile'!$B$11="Elevated",'Profile'!$B$11="Critical"),1,0),IF($D143="Critical",IF('Profile'!$B$11="Critical",1,0),1))))</x:f>
      </x:c>
      <x:c r="R143" t="str">
        <x:f>IF($A143="","",IF($Q143=0,0,IF($H143="N/A",0,IF($H143="Met",IF(AND($K143&gt;=VALUE(RIGHT($G143,1)),$L143="Yes"),1,0),IF($H143="Partially met",IF(AND($K143&gt;=1,$L143="Yes"),0.5,0),0)))))</x:f>
      </x:c>
      <x:c r="S143" t="str">
        <x:f>IF($A143="","",IF($Q143=0,0,IF($H143="N/A",IF(AND($P143&lt;&gt;"",$O143&lt;&gt;"",IFERROR(VLOOKUP($O143,'Exceptions'!$A$5:$M$204,2,FALSE),"")="N/A determination",IFERROR(VLOOKUP($O143,'Exceptions'!$A$5:$M$204,13,FALSE),"")="Active",IFERROR(ISNUMBER(SEARCH($A143,IFERROR(VLOOKUP($O143,'Exceptions'!$A$5:$M$204,3,FALSE),""))),FALSE)),0,1),1)))</x:f>
      </x:c>
      <x:c r="T143" t="str">
        <x:f>IF($A143="","",IF($C143="","",IF($H143="N/A",IF(AND($P143&lt;&gt;"",$O143&lt;&gt;"",IFERROR(VLOOKUP($O143,'Exceptions'!$A$5:$M$204,2,FALSE),"")="N/A determination",IFERROR(VLOOKUP($O143,'Exceptions'!$A$5:$M$204,13,FALSE),"")="Active",IFERROR(ISNUMBER(SEARCH($A143,IFERROR(VLOOKUP($O143,'Exceptions'!$A$5:$M$204,3,FALSE),""))),FALSE)),"N/A","FAIL"),IF(OR($H143="Unknown",$H143="",$K143=0,$L143&lt;&gt;"Yes"),"UNKNOWN",IF($H143="Met",IF($K143&gt;=VALUE(RIGHT($G143,1)),"PASS","UNKNOWN"),IF(OR($H143="Partially met",$H143="Unmet"),"FAIL","UNKNOWN"))))))</x:f>
      </x:c>
      <x:c r="U143" t="str">
        <x:f>IF($A143="","",IF($S143=0,0,IF(AND($K143&gt;=1,$L143="Yes"),1,0)))</x:f>
      </x:c>
      <x:c r="V143" t="str">
        <x:f>IF($A143="","",IF(OR($S143=0,$H143="N/A",$L143&lt;&gt;"Yes"),0,$K143))</x:f>
      </x:c>
      <x:c r="AB143" t="str">
        <x:f>IF($A143="","",IF(AND($Q143=1,$H143="N/A",NOT(AND($P143&lt;&gt;"",$O143&lt;&gt;"",IFERROR(VLOOKUP($O143,'Exceptions'!$A$5:$M$204,2,FALSE),"")="N/A determination",IFERROR(VLOOKUP($O143,'Exceptions'!$A$5:$M$204,13,FALSE),"")="Active",IFERROR(ISNUMBER(SEARCH($A143,IFERROR(VLOOKUP($O143,'Exceptions'!$A$5:$M$204,3,FALSE),""))),FALSE)))),"MISSING OR INVALID N/A DECISION",IF(AND($Q143=1,OR($H143="Partially met",$H143="Unmet"),OR($K143&lt;1,$L143&lt;&gt;"Yes")),"KNOWN RATING NEEDS FRESH E1",IF(AND($Q143=1,$H143="Met",OR($K143&lt;VALUE(RIGHT($G143,1)),$L143&lt;&gt;"Yes")),"EVIDENCE BELOW MINIMUM",IF(AND($Q143=1,OR($H143="",$H143="Unknown")),"UNASSESSED",IF(AND($H143="N/A",AND($P143&lt;&gt;"",$O143&lt;&gt;"",IFERROR(VLOOKUP($O143,'Exceptions'!$A$5:$M$204,2,FALSE),"")="N/A determination",IFERROR(VLOOKUP($O143,'Exceptions'!$A$5:$M$204,13,FALSE),"")="Active",IFERROR(ISNUMBER(SEARCH($A143,IFERROR(VLOOKUP($O143,'Exceptions'!$A$5:$M$204,3,FALSE),""))),FALSE))),"N/A APPROVED",IF($O143&lt;&gt;"","EXCEPTION REVIEW","OK")))))))</x:f>
      </x:c>
    </x:row>
    <x:row r="144">
      <x:c r="H144" s="8"/>
      <x:c r="I144" t="str">
        <x:f>IF($A144="","",IF($H144="Met",1,IF($H144="Partially met",0.5,IF(OR($H144="Unmet",$H144="Unknown"),0,""))))</x:f>
      </x:c>
      <x:c r="J144" s="8"/>
      <x:c r="K144" t="str">
        <x:f>IF($A144="","",IF($J144="E4",4,IF($J144="E3",3,IF($J144="E2",2,IF($J144="E1",1,0)))))</x:f>
      </x:c>
      <x:c r="L144" s="8"/>
      <x:c r="M144" s="8"/>
      <x:c r="N144" s="8"/>
      <x:c r="O144" s="8"/>
      <x:c r="P144" s="8"/>
      <x:c r="Q144" t="str">
        <x:f>IF($A144="","",IF($D144="Baseline",1,IF($D144="Elevated",IF(OR('Profile'!$B$11="Elevated",'Profile'!$B$11="Critical"),1,0),IF($D144="Critical",IF('Profile'!$B$11="Critical",1,0),1))))</x:f>
      </x:c>
      <x:c r="R144" t="str">
        <x:f>IF($A144="","",IF($Q144=0,0,IF($H144="N/A",0,IF($H144="Met",IF(AND($K144&gt;=VALUE(RIGHT($G144,1)),$L144="Yes"),1,0),IF($H144="Partially met",IF(AND($K144&gt;=1,$L144="Yes"),0.5,0),0)))))</x:f>
      </x:c>
      <x:c r="S144" t="str">
        <x:f>IF($A144="","",IF($Q144=0,0,IF($H144="N/A",IF(AND($P144&lt;&gt;"",$O144&lt;&gt;"",IFERROR(VLOOKUP($O144,'Exceptions'!$A$5:$M$204,2,FALSE),"")="N/A determination",IFERROR(VLOOKUP($O144,'Exceptions'!$A$5:$M$204,13,FALSE),"")="Active",IFERROR(ISNUMBER(SEARCH($A144,IFERROR(VLOOKUP($O144,'Exceptions'!$A$5:$M$204,3,FALSE),""))),FALSE)),0,1),1)))</x:f>
      </x:c>
      <x:c r="T144" t="str">
        <x:f>IF($A144="","",IF($C144="","",IF($H144="N/A",IF(AND($P144&lt;&gt;"",$O144&lt;&gt;"",IFERROR(VLOOKUP($O144,'Exceptions'!$A$5:$M$204,2,FALSE),"")="N/A determination",IFERROR(VLOOKUP($O144,'Exceptions'!$A$5:$M$204,13,FALSE),"")="Active",IFERROR(ISNUMBER(SEARCH($A144,IFERROR(VLOOKUP($O144,'Exceptions'!$A$5:$M$204,3,FALSE),""))),FALSE)),"N/A","FAIL"),IF(OR($H144="Unknown",$H144="",$K144=0,$L144&lt;&gt;"Yes"),"UNKNOWN",IF($H144="Met",IF($K144&gt;=VALUE(RIGHT($G144,1)),"PASS","UNKNOWN"),IF(OR($H144="Partially met",$H144="Unmet"),"FAIL","UNKNOWN"))))))</x:f>
      </x:c>
      <x:c r="U144" t="str">
        <x:f>IF($A144="","",IF($S144=0,0,IF(AND($K144&gt;=1,$L144="Yes"),1,0)))</x:f>
      </x:c>
      <x:c r="V144" t="str">
        <x:f>IF($A144="","",IF(OR($S144=0,$H144="N/A",$L144&lt;&gt;"Yes"),0,$K144))</x:f>
      </x:c>
      <x:c r="AB144" t="str">
        <x:f>IF($A144="","",IF(AND($Q144=1,$H144="N/A",NOT(AND($P144&lt;&gt;"",$O144&lt;&gt;"",IFERROR(VLOOKUP($O144,'Exceptions'!$A$5:$M$204,2,FALSE),"")="N/A determination",IFERROR(VLOOKUP($O144,'Exceptions'!$A$5:$M$204,13,FALSE),"")="Active",IFERROR(ISNUMBER(SEARCH($A144,IFERROR(VLOOKUP($O144,'Exceptions'!$A$5:$M$204,3,FALSE),""))),FALSE)))),"MISSING OR INVALID N/A DECISION",IF(AND($Q144=1,OR($H144="Partially met",$H144="Unmet"),OR($K144&lt;1,$L144&lt;&gt;"Yes")),"KNOWN RATING NEEDS FRESH E1",IF(AND($Q144=1,$H144="Met",OR($K144&lt;VALUE(RIGHT($G144,1)),$L144&lt;&gt;"Yes")),"EVIDENCE BELOW MINIMUM",IF(AND($Q144=1,OR($H144="",$H144="Unknown")),"UNASSESSED",IF(AND($H144="N/A",AND($P144&lt;&gt;"",$O144&lt;&gt;"",IFERROR(VLOOKUP($O144,'Exceptions'!$A$5:$M$204,2,FALSE),"")="N/A determination",IFERROR(VLOOKUP($O144,'Exceptions'!$A$5:$M$204,13,FALSE),"")="Active",IFERROR(ISNUMBER(SEARCH($A144,IFERROR(VLOOKUP($O144,'Exceptions'!$A$5:$M$204,3,FALSE),""))),FALSE))),"N/A APPROVED",IF($O144&lt;&gt;"","EXCEPTION REVIEW","OK")))))))</x:f>
      </x:c>
    </x:row>
    <x:row r="145">
      <x:c r="H145" s="8"/>
      <x:c r="I145" t="str">
        <x:f>IF($A145="","",IF($H145="Met",1,IF($H145="Partially met",0.5,IF(OR($H145="Unmet",$H145="Unknown"),0,""))))</x:f>
      </x:c>
      <x:c r="J145" s="8"/>
      <x:c r="K145" t="str">
        <x:f>IF($A145="","",IF($J145="E4",4,IF($J145="E3",3,IF($J145="E2",2,IF($J145="E1",1,0)))))</x:f>
      </x:c>
      <x:c r="L145" s="8"/>
      <x:c r="M145" s="8"/>
      <x:c r="N145" s="8"/>
      <x:c r="O145" s="8"/>
      <x:c r="P145" s="8"/>
      <x:c r="Q145" t="str">
        <x:f>IF($A145="","",IF($D145="Baseline",1,IF($D145="Elevated",IF(OR('Profile'!$B$11="Elevated",'Profile'!$B$11="Critical"),1,0),IF($D145="Critical",IF('Profile'!$B$11="Critical",1,0),1))))</x:f>
      </x:c>
      <x:c r="R145" t="str">
        <x:f>IF($A145="","",IF($Q145=0,0,IF($H145="N/A",0,IF($H145="Met",IF(AND($K145&gt;=VALUE(RIGHT($G145,1)),$L145="Yes"),1,0),IF($H145="Partially met",IF(AND($K145&gt;=1,$L145="Yes"),0.5,0),0)))))</x:f>
      </x:c>
      <x:c r="S145" t="str">
        <x:f>IF($A145="","",IF($Q145=0,0,IF($H145="N/A",IF(AND($P145&lt;&gt;"",$O145&lt;&gt;"",IFERROR(VLOOKUP($O145,'Exceptions'!$A$5:$M$204,2,FALSE),"")="N/A determination",IFERROR(VLOOKUP($O145,'Exceptions'!$A$5:$M$204,13,FALSE),"")="Active",IFERROR(ISNUMBER(SEARCH($A145,IFERROR(VLOOKUP($O145,'Exceptions'!$A$5:$M$204,3,FALSE),""))),FALSE)),0,1),1)))</x:f>
      </x:c>
      <x:c r="T145" t="str">
        <x:f>IF($A145="","",IF($C145="","",IF($H145="N/A",IF(AND($P145&lt;&gt;"",$O145&lt;&gt;"",IFERROR(VLOOKUP($O145,'Exceptions'!$A$5:$M$204,2,FALSE),"")="N/A determination",IFERROR(VLOOKUP($O145,'Exceptions'!$A$5:$M$204,13,FALSE),"")="Active",IFERROR(ISNUMBER(SEARCH($A145,IFERROR(VLOOKUP($O145,'Exceptions'!$A$5:$M$204,3,FALSE),""))),FALSE)),"N/A","FAIL"),IF(OR($H145="Unknown",$H145="",$K145=0,$L145&lt;&gt;"Yes"),"UNKNOWN",IF($H145="Met",IF($K145&gt;=VALUE(RIGHT($G145,1)),"PASS","UNKNOWN"),IF(OR($H145="Partially met",$H145="Unmet"),"FAIL","UNKNOWN"))))))</x:f>
      </x:c>
      <x:c r="U145" t="str">
        <x:f>IF($A145="","",IF($S145=0,0,IF(AND($K145&gt;=1,$L145="Yes"),1,0)))</x:f>
      </x:c>
      <x:c r="V145" t="str">
        <x:f>IF($A145="","",IF(OR($S145=0,$H145="N/A",$L145&lt;&gt;"Yes"),0,$K145))</x:f>
      </x:c>
      <x:c r="AB145" t="str">
        <x:f>IF($A145="","",IF(AND($Q145=1,$H145="N/A",NOT(AND($P145&lt;&gt;"",$O145&lt;&gt;"",IFERROR(VLOOKUP($O145,'Exceptions'!$A$5:$M$204,2,FALSE),"")="N/A determination",IFERROR(VLOOKUP($O145,'Exceptions'!$A$5:$M$204,13,FALSE),"")="Active",IFERROR(ISNUMBER(SEARCH($A145,IFERROR(VLOOKUP($O145,'Exceptions'!$A$5:$M$204,3,FALSE),""))),FALSE)))),"MISSING OR INVALID N/A DECISION",IF(AND($Q145=1,OR($H145="Partially met",$H145="Unmet"),OR($K145&lt;1,$L145&lt;&gt;"Yes")),"KNOWN RATING NEEDS FRESH E1",IF(AND($Q145=1,$H145="Met",OR($K145&lt;VALUE(RIGHT($G145,1)),$L145&lt;&gt;"Yes")),"EVIDENCE BELOW MINIMUM",IF(AND($Q145=1,OR($H145="",$H145="Unknown")),"UNASSESSED",IF(AND($H145="N/A",AND($P145&lt;&gt;"",$O145&lt;&gt;"",IFERROR(VLOOKUP($O145,'Exceptions'!$A$5:$M$204,2,FALSE),"")="N/A determination",IFERROR(VLOOKUP($O145,'Exceptions'!$A$5:$M$204,13,FALSE),"")="Active",IFERROR(ISNUMBER(SEARCH($A145,IFERROR(VLOOKUP($O145,'Exceptions'!$A$5:$M$204,3,FALSE),""))),FALSE))),"N/A APPROVED",IF($O145&lt;&gt;"","EXCEPTION REVIEW","OK")))))))</x:f>
      </x:c>
    </x:row>
    <x:row r="146">
      <x:c r="H146" s="8"/>
      <x:c r="I146" t="str">
        <x:f>IF($A146="","",IF($H146="Met",1,IF($H146="Partially met",0.5,IF(OR($H146="Unmet",$H146="Unknown"),0,""))))</x:f>
      </x:c>
      <x:c r="J146" s="8"/>
      <x:c r="K146" t="str">
        <x:f>IF($A146="","",IF($J146="E4",4,IF($J146="E3",3,IF($J146="E2",2,IF($J146="E1",1,0)))))</x:f>
      </x:c>
      <x:c r="L146" s="8"/>
      <x:c r="M146" s="8"/>
      <x:c r="N146" s="8"/>
      <x:c r="O146" s="8"/>
      <x:c r="P146" s="8"/>
      <x:c r="Q146" t="str">
        <x:f>IF($A146="","",IF($D146="Baseline",1,IF($D146="Elevated",IF(OR('Profile'!$B$11="Elevated",'Profile'!$B$11="Critical"),1,0),IF($D146="Critical",IF('Profile'!$B$11="Critical",1,0),1))))</x:f>
      </x:c>
      <x:c r="R146" t="str">
        <x:f>IF($A146="","",IF($Q146=0,0,IF($H146="N/A",0,IF($H146="Met",IF(AND($K146&gt;=VALUE(RIGHT($G146,1)),$L146="Yes"),1,0),IF($H146="Partially met",IF(AND($K146&gt;=1,$L146="Yes"),0.5,0),0)))))</x:f>
      </x:c>
      <x:c r="S146" t="str">
        <x:f>IF($A146="","",IF($Q146=0,0,IF($H146="N/A",IF(AND($P146&lt;&gt;"",$O146&lt;&gt;"",IFERROR(VLOOKUP($O146,'Exceptions'!$A$5:$M$204,2,FALSE),"")="N/A determination",IFERROR(VLOOKUP($O146,'Exceptions'!$A$5:$M$204,13,FALSE),"")="Active",IFERROR(ISNUMBER(SEARCH($A146,IFERROR(VLOOKUP($O146,'Exceptions'!$A$5:$M$204,3,FALSE),""))),FALSE)),0,1),1)))</x:f>
      </x:c>
      <x:c r="T146" t="str">
        <x:f>IF($A146="","",IF($C146="","",IF($H146="N/A",IF(AND($P146&lt;&gt;"",$O146&lt;&gt;"",IFERROR(VLOOKUP($O146,'Exceptions'!$A$5:$M$204,2,FALSE),"")="N/A determination",IFERROR(VLOOKUP($O146,'Exceptions'!$A$5:$M$204,13,FALSE),"")="Active",IFERROR(ISNUMBER(SEARCH($A146,IFERROR(VLOOKUP($O146,'Exceptions'!$A$5:$M$204,3,FALSE),""))),FALSE)),"N/A","FAIL"),IF(OR($H146="Unknown",$H146="",$K146=0,$L146&lt;&gt;"Yes"),"UNKNOWN",IF($H146="Met",IF($K146&gt;=VALUE(RIGHT($G146,1)),"PASS","UNKNOWN"),IF(OR($H146="Partially met",$H146="Unmet"),"FAIL","UNKNOWN"))))))</x:f>
      </x:c>
      <x:c r="U146" t="str">
        <x:f>IF($A146="","",IF($S146=0,0,IF(AND($K146&gt;=1,$L146="Yes"),1,0)))</x:f>
      </x:c>
      <x:c r="V146" t="str">
        <x:f>IF($A146="","",IF(OR($S146=0,$H146="N/A",$L146&lt;&gt;"Yes"),0,$K146))</x:f>
      </x:c>
      <x:c r="AB146" t="str">
        <x:f>IF($A146="","",IF(AND($Q146=1,$H146="N/A",NOT(AND($P146&lt;&gt;"",$O146&lt;&gt;"",IFERROR(VLOOKUP($O146,'Exceptions'!$A$5:$M$204,2,FALSE),"")="N/A determination",IFERROR(VLOOKUP($O146,'Exceptions'!$A$5:$M$204,13,FALSE),"")="Active",IFERROR(ISNUMBER(SEARCH($A146,IFERROR(VLOOKUP($O146,'Exceptions'!$A$5:$M$204,3,FALSE),""))),FALSE)))),"MISSING OR INVALID N/A DECISION",IF(AND($Q146=1,OR($H146="Partially met",$H146="Unmet"),OR($K146&lt;1,$L146&lt;&gt;"Yes")),"KNOWN RATING NEEDS FRESH E1",IF(AND($Q146=1,$H146="Met",OR($K146&lt;VALUE(RIGHT($G146,1)),$L146&lt;&gt;"Yes")),"EVIDENCE BELOW MINIMUM",IF(AND($Q146=1,OR($H146="",$H146="Unknown")),"UNASSESSED",IF(AND($H146="N/A",AND($P146&lt;&gt;"",$O146&lt;&gt;"",IFERROR(VLOOKUP($O146,'Exceptions'!$A$5:$M$204,2,FALSE),"")="N/A determination",IFERROR(VLOOKUP($O146,'Exceptions'!$A$5:$M$204,13,FALSE),"")="Active",IFERROR(ISNUMBER(SEARCH($A146,IFERROR(VLOOKUP($O146,'Exceptions'!$A$5:$M$204,3,FALSE),""))),FALSE))),"N/A APPROVED",IF($O146&lt;&gt;"","EXCEPTION REVIEW","OK")))))))</x:f>
      </x:c>
    </x:row>
    <x:row r="147">
      <x:c r="H147" s="8"/>
      <x:c r="I147" t="str">
        <x:f>IF($A147="","",IF($H147="Met",1,IF($H147="Partially met",0.5,IF(OR($H147="Unmet",$H147="Unknown"),0,""))))</x:f>
      </x:c>
      <x:c r="J147" s="8"/>
      <x:c r="K147" t="str">
        <x:f>IF($A147="","",IF($J147="E4",4,IF($J147="E3",3,IF($J147="E2",2,IF($J147="E1",1,0)))))</x:f>
      </x:c>
      <x:c r="L147" s="8"/>
      <x:c r="M147" s="8"/>
      <x:c r="N147" s="8"/>
      <x:c r="O147" s="8"/>
      <x:c r="P147" s="8"/>
      <x:c r="Q147" t="str">
        <x:f>IF($A147="","",IF($D147="Baseline",1,IF($D147="Elevated",IF(OR('Profile'!$B$11="Elevated",'Profile'!$B$11="Critical"),1,0),IF($D147="Critical",IF('Profile'!$B$11="Critical",1,0),1))))</x:f>
      </x:c>
      <x:c r="R147" t="str">
        <x:f>IF($A147="","",IF($Q147=0,0,IF($H147="N/A",0,IF($H147="Met",IF(AND($K147&gt;=VALUE(RIGHT($G147,1)),$L147="Yes"),1,0),IF($H147="Partially met",IF(AND($K147&gt;=1,$L147="Yes"),0.5,0),0)))))</x:f>
      </x:c>
      <x:c r="S147" t="str">
        <x:f>IF($A147="","",IF($Q147=0,0,IF($H147="N/A",IF(AND($P147&lt;&gt;"",$O147&lt;&gt;"",IFERROR(VLOOKUP($O147,'Exceptions'!$A$5:$M$204,2,FALSE),"")="N/A determination",IFERROR(VLOOKUP($O147,'Exceptions'!$A$5:$M$204,13,FALSE),"")="Active",IFERROR(ISNUMBER(SEARCH($A147,IFERROR(VLOOKUP($O147,'Exceptions'!$A$5:$M$204,3,FALSE),""))),FALSE)),0,1),1)))</x:f>
      </x:c>
      <x:c r="T147" t="str">
        <x:f>IF($A147="","",IF($C147="","",IF($H147="N/A",IF(AND($P147&lt;&gt;"",$O147&lt;&gt;"",IFERROR(VLOOKUP($O147,'Exceptions'!$A$5:$M$204,2,FALSE),"")="N/A determination",IFERROR(VLOOKUP($O147,'Exceptions'!$A$5:$M$204,13,FALSE),"")="Active",IFERROR(ISNUMBER(SEARCH($A147,IFERROR(VLOOKUP($O147,'Exceptions'!$A$5:$M$204,3,FALSE),""))),FALSE)),"N/A","FAIL"),IF(OR($H147="Unknown",$H147="",$K147=0,$L147&lt;&gt;"Yes"),"UNKNOWN",IF($H147="Met",IF($K147&gt;=VALUE(RIGHT($G147,1)),"PASS","UNKNOWN"),IF(OR($H147="Partially met",$H147="Unmet"),"FAIL","UNKNOWN"))))))</x:f>
      </x:c>
      <x:c r="U147" t="str">
        <x:f>IF($A147="","",IF($S147=0,0,IF(AND($K147&gt;=1,$L147="Yes"),1,0)))</x:f>
      </x:c>
      <x:c r="V147" t="str">
        <x:f>IF($A147="","",IF(OR($S147=0,$H147="N/A",$L147&lt;&gt;"Yes"),0,$K147))</x:f>
      </x:c>
      <x:c r="AB147" t="str">
        <x:f>IF($A147="","",IF(AND($Q147=1,$H147="N/A",NOT(AND($P147&lt;&gt;"",$O147&lt;&gt;"",IFERROR(VLOOKUP($O147,'Exceptions'!$A$5:$M$204,2,FALSE),"")="N/A determination",IFERROR(VLOOKUP($O147,'Exceptions'!$A$5:$M$204,13,FALSE),"")="Active",IFERROR(ISNUMBER(SEARCH($A147,IFERROR(VLOOKUP($O147,'Exceptions'!$A$5:$M$204,3,FALSE),""))),FALSE)))),"MISSING OR INVALID N/A DECISION",IF(AND($Q147=1,OR($H147="Partially met",$H147="Unmet"),OR($K147&lt;1,$L147&lt;&gt;"Yes")),"KNOWN RATING NEEDS FRESH E1",IF(AND($Q147=1,$H147="Met",OR($K147&lt;VALUE(RIGHT($G147,1)),$L147&lt;&gt;"Yes")),"EVIDENCE BELOW MINIMUM",IF(AND($Q147=1,OR($H147="",$H147="Unknown")),"UNASSESSED",IF(AND($H147="N/A",AND($P147&lt;&gt;"",$O147&lt;&gt;"",IFERROR(VLOOKUP($O147,'Exceptions'!$A$5:$M$204,2,FALSE),"")="N/A determination",IFERROR(VLOOKUP($O147,'Exceptions'!$A$5:$M$204,13,FALSE),"")="Active",IFERROR(ISNUMBER(SEARCH($A147,IFERROR(VLOOKUP($O147,'Exceptions'!$A$5:$M$204,3,FALSE),""))),FALSE))),"N/A APPROVED",IF($O147&lt;&gt;"","EXCEPTION REVIEW","OK")))))))</x:f>
      </x:c>
    </x:row>
    <x:row r="148">
      <x:c r="H148" s="8"/>
      <x:c r="I148" t="str">
        <x:f>IF($A148="","",IF($H148="Met",1,IF($H148="Partially met",0.5,IF(OR($H148="Unmet",$H148="Unknown"),0,""))))</x:f>
      </x:c>
      <x:c r="J148" s="8"/>
      <x:c r="K148" t="str">
        <x:f>IF($A148="","",IF($J148="E4",4,IF($J148="E3",3,IF($J148="E2",2,IF($J148="E1",1,0)))))</x:f>
      </x:c>
      <x:c r="L148" s="8"/>
      <x:c r="M148" s="8"/>
      <x:c r="N148" s="8"/>
      <x:c r="O148" s="8"/>
      <x:c r="P148" s="8"/>
      <x:c r="Q148" t="str">
        <x:f>IF($A148="","",IF($D148="Baseline",1,IF($D148="Elevated",IF(OR('Profile'!$B$11="Elevated",'Profile'!$B$11="Critical"),1,0),IF($D148="Critical",IF('Profile'!$B$11="Critical",1,0),1))))</x:f>
      </x:c>
      <x:c r="R148" t="str">
        <x:f>IF($A148="","",IF($Q148=0,0,IF($H148="N/A",0,IF($H148="Met",IF(AND($K148&gt;=VALUE(RIGHT($G148,1)),$L148="Yes"),1,0),IF($H148="Partially met",IF(AND($K148&gt;=1,$L148="Yes"),0.5,0),0)))))</x:f>
      </x:c>
      <x:c r="S148" t="str">
        <x:f>IF($A148="","",IF($Q148=0,0,IF($H148="N/A",IF(AND($P148&lt;&gt;"",$O148&lt;&gt;"",IFERROR(VLOOKUP($O148,'Exceptions'!$A$5:$M$204,2,FALSE),"")="N/A determination",IFERROR(VLOOKUP($O148,'Exceptions'!$A$5:$M$204,13,FALSE),"")="Active",IFERROR(ISNUMBER(SEARCH($A148,IFERROR(VLOOKUP($O148,'Exceptions'!$A$5:$M$204,3,FALSE),""))),FALSE)),0,1),1)))</x:f>
      </x:c>
      <x:c r="T148" t="str">
        <x:f>IF($A148="","",IF($C148="","",IF($H148="N/A",IF(AND($P148&lt;&gt;"",$O148&lt;&gt;"",IFERROR(VLOOKUP($O148,'Exceptions'!$A$5:$M$204,2,FALSE),"")="N/A determination",IFERROR(VLOOKUP($O148,'Exceptions'!$A$5:$M$204,13,FALSE),"")="Active",IFERROR(ISNUMBER(SEARCH($A148,IFERROR(VLOOKUP($O148,'Exceptions'!$A$5:$M$204,3,FALSE),""))),FALSE)),"N/A","FAIL"),IF(OR($H148="Unknown",$H148="",$K148=0,$L148&lt;&gt;"Yes"),"UNKNOWN",IF($H148="Met",IF($K148&gt;=VALUE(RIGHT($G148,1)),"PASS","UNKNOWN"),IF(OR($H148="Partially met",$H148="Unmet"),"FAIL","UNKNOWN"))))))</x:f>
      </x:c>
      <x:c r="U148" t="str">
        <x:f>IF($A148="","",IF($S148=0,0,IF(AND($K148&gt;=1,$L148="Yes"),1,0)))</x:f>
      </x:c>
      <x:c r="V148" t="str">
        <x:f>IF($A148="","",IF(OR($S148=0,$H148="N/A",$L148&lt;&gt;"Yes"),0,$K148))</x:f>
      </x:c>
      <x:c r="AB148" t="str">
        <x:f>IF($A148="","",IF(AND($Q148=1,$H148="N/A",NOT(AND($P148&lt;&gt;"",$O148&lt;&gt;"",IFERROR(VLOOKUP($O148,'Exceptions'!$A$5:$M$204,2,FALSE),"")="N/A determination",IFERROR(VLOOKUP($O148,'Exceptions'!$A$5:$M$204,13,FALSE),"")="Active",IFERROR(ISNUMBER(SEARCH($A148,IFERROR(VLOOKUP($O148,'Exceptions'!$A$5:$M$204,3,FALSE),""))),FALSE)))),"MISSING OR INVALID N/A DECISION",IF(AND($Q148=1,OR($H148="Partially met",$H148="Unmet"),OR($K148&lt;1,$L148&lt;&gt;"Yes")),"KNOWN RATING NEEDS FRESH E1",IF(AND($Q148=1,$H148="Met",OR($K148&lt;VALUE(RIGHT($G148,1)),$L148&lt;&gt;"Yes")),"EVIDENCE BELOW MINIMUM",IF(AND($Q148=1,OR($H148="",$H148="Unknown")),"UNASSESSED",IF(AND($H148="N/A",AND($P148&lt;&gt;"",$O148&lt;&gt;"",IFERROR(VLOOKUP($O148,'Exceptions'!$A$5:$M$204,2,FALSE),"")="N/A determination",IFERROR(VLOOKUP($O148,'Exceptions'!$A$5:$M$204,13,FALSE),"")="Active",IFERROR(ISNUMBER(SEARCH($A148,IFERROR(VLOOKUP($O148,'Exceptions'!$A$5:$M$204,3,FALSE),""))),FALSE))),"N/A APPROVED",IF($O148&lt;&gt;"","EXCEPTION REVIEW","OK")))))))</x:f>
      </x:c>
    </x:row>
    <x:row r="149">
      <x:c r="H149" s="8"/>
      <x:c r="I149" t="str">
        <x:f>IF($A149="","",IF($H149="Met",1,IF($H149="Partially met",0.5,IF(OR($H149="Unmet",$H149="Unknown"),0,""))))</x:f>
      </x:c>
      <x:c r="J149" s="8"/>
      <x:c r="K149" t="str">
        <x:f>IF($A149="","",IF($J149="E4",4,IF($J149="E3",3,IF($J149="E2",2,IF($J149="E1",1,0)))))</x:f>
      </x:c>
      <x:c r="L149" s="8"/>
      <x:c r="M149" s="8"/>
      <x:c r="N149" s="8"/>
      <x:c r="O149" s="8"/>
      <x:c r="P149" s="8"/>
      <x:c r="Q149" t="str">
        <x:f>IF($A149="","",IF($D149="Baseline",1,IF($D149="Elevated",IF(OR('Profile'!$B$11="Elevated",'Profile'!$B$11="Critical"),1,0),IF($D149="Critical",IF('Profile'!$B$11="Critical",1,0),1))))</x:f>
      </x:c>
      <x:c r="R149" t="str">
        <x:f>IF($A149="","",IF($Q149=0,0,IF($H149="N/A",0,IF($H149="Met",IF(AND($K149&gt;=VALUE(RIGHT($G149,1)),$L149="Yes"),1,0),IF($H149="Partially met",IF(AND($K149&gt;=1,$L149="Yes"),0.5,0),0)))))</x:f>
      </x:c>
      <x:c r="S149" t="str">
        <x:f>IF($A149="","",IF($Q149=0,0,IF($H149="N/A",IF(AND($P149&lt;&gt;"",$O149&lt;&gt;"",IFERROR(VLOOKUP($O149,'Exceptions'!$A$5:$M$204,2,FALSE),"")="N/A determination",IFERROR(VLOOKUP($O149,'Exceptions'!$A$5:$M$204,13,FALSE),"")="Active",IFERROR(ISNUMBER(SEARCH($A149,IFERROR(VLOOKUP($O149,'Exceptions'!$A$5:$M$204,3,FALSE),""))),FALSE)),0,1),1)))</x:f>
      </x:c>
      <x:c r="T149" t="str">
        <x:f>IF($A149="","",IF($C149="","",IF($H149="N/A",IF(AND($P149&lt;&gt;"",$O149&lt;&gt;"",IFERROR(VLOOKUP($O149,'Exceptions'!$A$5:$M$204,2,FALSE),"")="N/A determination",IFERROR(VLOOKUP($O149,'Exceptions'!$A$5:$M$204,13,FALSE),"")="Active",IFERROR(ISNUMBER(SEARCH($A149,IFERROR(VLOOKUP($O149,'Exceptions'!$A$5:$M$204,3,FALSE),""))),FALSE)),"N/A","FAIL"),IF(OR($H149="Unknown",$H149="",$K149=0,$L149&lt;&gt;"Yes"),"UNKNOWN",IF($H149="Met",IF($K149&gt;=VALUE(RIGHT($G149,1)),"PASS","UNKNOWN"),IF(OR($H149="Partially met",$H149="Unmet"),"FAIL","UNKNOWN"))))))</x:f>
      </x:c>
      <x:c r="U149" t="str">
        <x:f>IF($A149="","",IF($S149=0,0,IF(AND($K149&gt;=1,$L149="Yes"),1,0)))</x:f>
      </x:c>
      <x:c r="V149" t="str">
        <x:f>IF($A149="","",IF(OR($S149=0,$H149="N/A",$L149&lt;&gt;"Yes"),0,$K149))</x:f>
      </x:c>
      <x:c r="AB149" t="str">
        <x:f>IF($A149="","",IF(AND($Q149=1,$H149="N/A",NOT(AND($P149&lt;&gt;"",$O149&lt;&gt;"",IFERROR(VLOOKUP($O149,'Exceptions'!$A$5:$M$204,2,FALSE),"")="N/A determination",IFERROR(VLOOKUP($O149,'Exceptions'!$A$5:$M$204,13,FALSE),"")="Active",IFERROR(ISNUMBER(SEARCH($A149,IFERROR(VLOOKUP($O149,'Exceptions'!$A$5:$M$204,3,FALSE),""))),FALSE)))),"MISSING OR INVALID N/A DECISION",IF(AND($Q149=1,OR($H149="Partially met",$H149="Unmet"),OR($K149&lt;1,$L149&lt;&gt;"Yes")),"KNOWN RATING NEEDS FRESH E1",IF(AND($Q149=1,$H149="Met",OR($K149&lt;VALUE(RIGHT($G149,1)),$L149&lt;&gt;"Yes")),"EVIDENCE BELOW MINIMUM",IF(AND($Q149=1,OR($H149="",$H149="Unknown")),"UNASSESSED",IF(AND($H149="N/A",AND($P149&lt;&gt;"",$O149&lt;&gt;"",IFERROR(VLOOKUP($O149,'Exceptions'!$A$5:$M$204,2,FALSE),"")="N/A determination",IFERROR(VLOOKUP($O149,'Exceptions'!$A$5:$M$204,13,FALSE),"")="Active",IFERROR(ISNUMBER(SEARCH($A149,IFERROR(VLOOKUP($O149,'Exceptions'!$A$5:$M$204,3,FALSE),""))),FALSE))),"N/A APPROVED",IF($O149&lt;&gt;"","EXCEPTION REVIEW","OK")))))))</x:f>
      </x:c>
    </x:row>
    <x:row r="150">
      <x:c r="H150" s="8"/>
      <x:c r="I150" t="str">
        <x:f>IF($A150="","",IF($H150="Met",1,IF($H150="Partially met",0.5,IF(OR($H150="Unmet",$H150="Unknown"),0,""))))</x:f>
      </x:c>
      <x:c r="J150" s="8"/>
      <x:c r="K150" t="str">
        <x:f>IF($A150="","",IF($J150="E4",4,IF($J150="E3",3,IF($J150="E2",2,IF($J150="E1",1,0)))))</x:f>
      </x:c>
      <x:c r="L150" s="8"/>
      <x:c r="M150" s="8"/>
      <x:c r="N150" s="8"/>
      <x:c r="O150" s="8"/>
      <x:c r="P150" s="8"/>
      <x:c r="Q150" t="str">
        <x:f>IF($A150="","",IF($D150="Baseline",1,IF($D150="Elevated",IF(OR('Profile'!$B$11="Elevated",'Profile'!$B$11="Critical"),1,0),IF($D150="Critical",IF('Profile'!$B$11="Critical",1,0),1))))</x:f>
      </x:c>
      <x:c r="R150" t="str">
        <x:f>IF($A150="","",IF($Q150=0,0,IF($H150="N/A",0,IF($H150="Met",IF(AND($K150&gt;=VALUE(RIGHT($G150,1)),$L150="Yes"),1,0),IF($H150="Partially met",IF(AND($K150&gt;=1,$L150="Yes"),0.5,0),0)))))</x:f>
      </x:c>
      <x:c r="S150" t="str">
        <x:f>IF($A150="","",IF($Q150=0,0,IF($H150="N/A",IF(AND($P150&lt;&gt;"",$O150&lt;&gt;"",IFERROR(VLOOKUP($O150,'Exceptions'!$A$5:$M$204,2,FALSE),"")="N/A determination",IFERROR(VLOOKUP($O150,'Exceptions'!$A$5:$M$204,13,FALSE),"")="Active",IFERROR(ISNUMBER(SEARCH($A150,IFERROR(VLOOKUP($O150,'Exceptions'!$A$5:$M$204,3,FALSE),""))),FALSE)),0,1),1)))</x:f>
      </x:c>
      <x:c r="T150" t="str">
        <x:f>IF($A150="","",IF($C150="","",IF($H150="N/A",IF(AND($P150&lt;&gt;"",$O150&lt;&gt;"",IFERROR(VLOOKUP($O150,'Exceptions'!$A$5:$M$204,2,FALSE),"")="N/A determination",IFERROR(VLOOKUP($O150,'Exceptions'!$A$5:$M$204,13,FALSE),"")="Active",IFERROR(ISNUMBER(SEARCH($A150,IFERROR(VLOOKUP($O150,'Exceptions'!$A$5:$M$204,3,FALSE),""))),FALSE)),"N/A","FAIL"),IF(OR($H150="Unknown",$H150="",$K150=0,$L150&lt;&gt;"Yes"),"UNKNOWN",IF($H150="Met",IF($K150&gt;=VALUE(RIGHT($G150,1)),"PASS","UNKNOWN"),IF(OR($H150="Partially met",$H150="Unmet"),"FAIL","UNKNOWN"))))))</x:f>
      </x:c>
      <x:c r="U150" t="str">
        <x:f>IF($A150="","",IF($S150=0,0,IF(AND($K150&gt;=1,$L150="Yes"),1,0)))</x:f>
      </x:c>
      <x:c r="V150" t="str">
        <x:f>IF($A150="","",IF(OR($S150=0,$H150="N/A",$L150&lt;&gt;"Yes"),0,$K150))</x:f>
      </x:c>
      <x:c r="AB150" t="str">
        <x:f>IF($A150="","",IF(AND($Q150=1,$H150="N/A",NOT(AND($P150&lt;&gt;"",$O150&lt;&gt;"",IFERROR(VLOOKUP($O150,'Exceptions'!$A$5:$M$204,2,FALSE),"")="N/A determination",IFERROR(VLOOKUP($O150,'Exceptions'!$A$5:$M$204,13,FALSE),"")="Active",IFERROR(ISNUMBER(SEARCH($A150,IFERROR(VLOOKUP($O150,'Exceptions'!$A$5:$M$204,3,FALSE),""))),FALSE)))),"MISSING OR INVALID N/A DECISION",IF(AND($Q150=1,OR($H150="Partially met",$H150="Unmet"),OR($K150&lt;1,$L150&lt;&gt;"Yes")),"KNOWN RATING NEEDS FRESH E1",IF(AND($Q150=1,$H150="Met",OR($K150&lt;VALUE(RIGHT($G150,1)),$L150&lt;&gt;"Yes")),"EVIDENCE BELOW MINIMUM",IF(AND($Q150=1,OR($H150="",$H150="Unknown")),"UNASSESSED",IF(AND($H150="N/A",AND($P150&lt;&gt;"",$O150&lt;&gt;"",IFERROR(VLOOKUP($O150,'Exceptions'!$A$5:$M$204,2,FALSE),"")="N/A determination",IFERROR(VLOOKUP($O150,'Exceptions'!$A$5:$M$204,13,FALSE),"")="Active",IFERROR(ISNUMBER(SEARCH($A150,IFERROR(VLOOKUP($O150,'Exceptions'!$A$5:$M$204,3,FALSE),""))),FALSE))),"N/A APPROVED",IF($O150&lt;&gt;"","EXCEPTION REVIEW","OK")))))))</x:f>
      </x:c>
    </x:row>
    <x:row r="151">
      <x:c r="H151" s="8"/>
      <x:c r="I151" t="str">
        <x:f>IF($A151="","",IF($H151="Met",1,IF($H151="Partially met",0.5,IF(OR($H151="Unmet",$H151="Unknown"),0,""))))</x:f>
      </x:c>
      <x:c r="J151" s="8"/>
      <x:c r="K151" t="str">
        <x:f>IF($A151="","",IF($J151="E4",4,IF($J151="E3",3,IF($J151="E2",2,IF($J151="E1",1,0)))))</x:f>
      </x:c>
      <x:c r="L151" s="8"/>
      <x:c r="M151" s="8"/>
      <x:c r="N151" s="8"/>
      <x:c r="O151" s="8"/>
      <x:c r="P151" s="8"/>
      <x:c r="Q151" t="str">
        <x:f>IF($A151="","",IF($D151="Baseline",1,IF($D151="Elevated",IF(OR('Profile'!$B$11="Elevated",'Profile'!$B$11="Critical"),1,0),IF($D151="Critical",IF('Profile'!$B$11="Critical",1,0),1))))</x:f>
      </x:c>
      <x:c r="R151" t="str">
        <x:f>IF($A151="","",IF($Q151=0,0,IF($H151="N/A",0,IF($H151="Met",IF(AND($K151&gt;=VALUE(RIGHT($G151,1)),$L151="Yes"),1,0),IF($H151="Partially met",IF(AND($K151&gt;=1,$L151="Yes"),0.5,0),0)))))</x:f>
      </x:c>
      <x:c r="S151" t="str">
        <x:f>IF($A151="","",IF($Q151=0,0,IF($H151="N/A",IF(AND($P151&lt;&gt;"",$O151&lt;&gt;"",IFERROR(VLOOKUP($O151,'Exceptions'!$A$5:$M$204,2,FALSE),"")="N/A determination",IFERROR(VLOOKUP($O151,'Exceptions'!$A$5:$M$204,13,FALSE),"")="Active",IFERROR(ISNUMBER(SEARCH($A151,IFERROR(VLOOKUP($O151,'Exceptions'!$A$5:$M$204,3,FALSE),""))),FALSE)),0,1),1)))</x:f>
      </x:c>
      <x:c r="T151" t="str">
        <x:f>IF($A151="","",IF($C151="","",IF($H151="N/A",IF(AND($P151&lt;&gt;"",$O151&lt;&gt;"",IFERROR(VLOOKUP($O151,'Exceptions'!$A$5:$M$204,2,FALSE),"")="N/A determination",IFERROR(VLOOKUP($O151,'Exceptions'!$A$5:$M$204,13,FALSE),"")="Active",IFERROR(ISNUMBER(SEARCH($A151,IFERROR(VLOOKUP($O151,'Exceptions'!$A$5:$M$204,3,FALSE),""))),FALSE)),"N/A","FAIL"),IF(OR($H151="Unknown",$H151="",$K151=0,$L151&lt;&gt;"Yes"),"UNKNOWN",IF($H151="Met",IF($K151&gt;=VALUE(RIGHT($G151,1)),"PASS","UNKNOWN"),IF(OR($H151="Partially met",$H151="Unmet"),"FAIL","UNKNOWN"))))))</x:f>
      </x:c>
      <x:c r="U151" t="str">
        <x:f>IF($A151="","",IF($S151=0,0,IF(AND($K151&gt;=1,$L151="Yes"),1,0)))</x:f>
      </x:c>
      <x:c r="V151" t="str">
        <x:f>IF($A151="","",IF(OR($S151=0,$H151="N/A",$L151&lt;&gt;"Yes"),0,$K151))</x:f>
      </x:c>
      <x:c r="AB151" t="str">
        <x:f>IF($A151="","",IF(AND($Q151=1,$H151="N/A",NOT(AND($P151&lt;&gt;"",$O151&lt;&gt;"",IFERROR(VLOOKUP($O151,'Exceptions'!$A$5:$M$204,2,FALSE),"")="N/A determination",IFERROR(VLOOKUP($O151,'Exceptions'!$A$5:$M$204,13,FALSE),"")="Active",IFERROR(ISNUMBER(SEARCH($A151,IFERROR(VLOOKUP($O151,'Exceptions'!$A$5:$M$204,3,FALSE),""))),FALSE)))),"MISSING OR INVALID N/A DECISION",IF(AND($Q151=1,OR($H151="Partially met",$H151="Unmet"),OR($K151&lt;1,$L151&lt;&gt;"Yes")),"KNOWN RATING NEEDS FRESH E1",IF(AND($Q151=1,$H151="Met",OR($K151&lt;VALUE(RIGHT($G151,1)),$L151&lt;&gt;"Yes")),"EVIDENCE BELOW MINIMUM",IF(AND($Q151=1,OR($H151="",$H151="Unknown")),"UNASSESSED",IF(AND($H151="N/A",AND($P151&lt;&gt;"",$O151&lt;&gt;"",IFERROR(VLOOKUP($O151,'Exceptions'!$A$5:$M$204,2,FALSE),"")="N/A determination",IFERROR(VLOOKUP($O151,'Exceptions'!$A$5:$M$204,13,FALSE),"")="Active",IFERROR(ISNUMBER(SEARCH($A151,IFERROR(VLOOKUP($O151,'Exceptions'!$A$5:$M$204,3,FALSE),""))),FALSE))),"N/A APPROVED",IF($O151&lt;&gt;"","EXCEPTION REVIEW","OK")))))))</x:f>
      </x:c>
    </x:row>
    <x:row r="152">
      <x:c r="H152" s="8"/>
      <x:c r="I152" t="str">
        <x:f>IF($A152="","",IF($H152="Met",1,IF($H152="Partially met",0.5,IF(OR($H152="Unmet",$H152="Unknown"),0,""))))</x:f>
      </x:c>
      <x:c r="J152" s="8"/>
      <x:c r="K152" t="str">
        <x:f>IF($A152="","",IF($J152="E4",4,IF($J152="E3",3,IF($J152="E2",2,IF($J152="E1",1,0)))))</x:f>
      </x:c>
      <x:c r="L152" s="8"/>
      <x:c r="M152" s="8"/>
      <x:c r="N152" s="8"/>
      <x:c r="O152" s="8"/>
      <x:c r="P152" s="8"/>
      <x:c r="Q152" t="str">
        <x:f>IF($A152="","",IF($D152="Baseline",1,IF($D152="Elevated",IF(OR('Profile'!$B$11="Elevated",'Profile'!$B$11="Critical"),1,0),IF($D152="Critical",IF('Profile'!$B$11="Critical",1,0),1))))</x:f>
      </x:c>
      <x:c r="R152" t="str">
        <x:f>IF($A152="","",IF($Q152=0,0,IF($H152="N/A",0,IF($H152="Met",IF(AND($K152&gt;=VALUE(RIGHT($G152,1)),$L152="Yes"),1,0),IF($H152="Partially met",IF(AND($K152&gt;=1,$L152="Yes"),0.5,0),0)))))</x:f>
      </x:c>
      <x:c r="S152" t="str">
        <x:f>IF($A152="","",IF($Q152=0,0,IF($H152="N/A",IF(AND($P152&lt;&gt;"",$O152&lt;&gt;"",IFERROR(VLOOKUP($O152,'Exceptions'!$A$5:$M$204,2,FALSE),"")="N/A determination",IFERROR(VLOOKUP($O152,'Exceptions'!$A$5:$M$204,13,FALSE),"")="Active",IFERROR(ISNUMBER(SEARCH($A152,IFERROR(VLOOKUP($O152,'Exceptions'!$A$5:$M$204,3,FALSE),""))),FALSE)),0,1),1)))</x:f>
      </x:c>
      <x:c r="T152" t="str">
        <x:f>IF($A152="","",IF($C152="","",IF($H152="N/A",IF(AND($P152&lt;&gt;"",$O152&lt;&gt;"",IFERROR(VLOOKUP($O152,'Exceptions'!$A$5:$M$204,2,FALSE),"")="N/A determination",IFERROR(VLOOKUP($O152,'Exceptions'!$A$5:$M$204,13,FALSE),"")="Active",IFERROR(ISNUMBER(SEARCH($A152,IFERROR(VLOOKUP($O152,'Exceptions'!$A$5:$M$204,3,FALSE),""))),FALSE)),"N/A","FAIL"),IF(OR($H152="Unknown",$H152="",$K152=0,$L152&lt;&gt;"Yes"),"UNKNOWN",IF($H152="Met",IF($K152&gt;=VALUE(RIGHT($G152,1)),"PASS","UNKNOWN"),IF(OR($H152="Partially met",$H152="Unmet"),"FAIL","UNKNOWN"))))))</x:f>
      </x:c>
      <x:c r="U152" t="str">
        <x:f>IF($A152="","",IF($S152=0,0,IF(AND($K152&gt;=1,$L152="Yes"),1,0)))</x:f>
      </x:c>
      <x:c r="V152" t="str">
        <x:f>IF($A152="","",IF(OR($S152=0,$H152="N/A",$L152&lt;&gt;"Yes"),0,$K152))</x:f>
      </x:c>
      <x:c r="AB152" t="str">
        <x:f>IF($A152="","",IF(AND($Q152=1,$H152="N/A",NOT(AND($P152&lt;&gt;"",$O152&lt;&gt;"",IFERROR(VLOOKUP($O152,'Exceptions'!$A$5:$M$204,2,FALSE),"")="N/A determination",IFERROR(VLOOKUP($O152,'Exceptions'!$A$5:$M$204,13,FALSE),"")="Active",IFERROR(ISNUMBER(SEARCH($A152,IFERROR(VLOOKUP($O152,'Exceptions'!$A$5:$M$204,3,FALSE),""))),FALSE)))),"MISSING OR INVALID N/A DECISION",IF(AND($Q152=1,OR($H152="Partially met",$H152="Unmet"),OR($K152&lt;1,$L152&lt;&gt;"Yes")),"KNOWN RATING NEEDS FRESH E1",IF(AND($Q152=1,$H152="Met",OR($K152&lt;VALUE(RIGHT($G152,1)),$L152&lt;&gt;"Yes")),"EVIDENCE BELOW MINIMUM",IF(AND($Q152=1,OR($H152="",$H152="Unknown")),"UNASSESSED",IF(AND($H152="N/A",AND($P152&lt;&gt;"",$O152&lt;&gt;"",IFERROR(VLOOKUP($O152,'Exceptions'!$A$5:$M$204,2,FALSE),"")="N/A determination",IFERROR(VLOOKUP($O152,'Exceptions'!$A$5:$M$204,13,FALSE),"")="Active",IFERROR(ISNUMBER(SEARCH($A152,IFERROR(VLOOKUP($O152,'Exceptions'!$A$5:$M$204,3,FALSE),""))),FALSE))),"N/A APPROVED",IF($O152&lt;&gt;"","EXCEPTION REVIEW","OK")))))))</x:f>
      </x:c>
    </x:row>
    <x:row r="153">
      <x:c r="H153" s="8"/>
      <x:c r="I153" t="str">
        <x:f>IF($A153="","",IF($H153="Met",1,IF($H153="Partially met",0.5,IF(OR($H153="Unmet",$H153="Unknown"),0,""))))</x:f>
      </x:c>
      <x:c r="J153" s="8"/>
      <x:c r="K153" t="str">
        <x:f>IF($A153="","",IF($J153="E4",4,IF($J153="E3",3,IF($J153="E2",2,IF($J153="E1",1,0)))))</x:f>
      </x:c>
      <x:c r="L153" s="8"/>
      <x:c r="M153" s="8"/>
      <x:c r="N153" s="8"/>
      <x:c r="O153" s="8"/>
      <x:c r="P153" s="8"/>
      <x:c r="Q153" t="str">
        <x:f>IF($A153="","",IF($D153="Baseline",1,IF($D153="Elevated",IF(OR('Profile'!$B$11="Elevated",'Profile'!$B$11="Critical"),1,0),IF($D153="Critical",IF('Profile'!$B$11="Critical",1,0),1))))</x:f>
      </x:c>
      <x:c r="R153" t="str">
        <x:f>IF($A153="","",IF($Q153=0,0,IF($H153="N/A",0,IF($H153="Met",IF(AND($K153&gt;=VALUE(RIGHT($G153,1)),$L153="Yes"),1,0),IF($H153="Partially met",IF(AND($K153&gt;=1,$L153="Yes"),0.5,0),0)))))</x:f>
      </x:c>
      <x:c r="S153" t="str">
        <x:f>IF($A153="","",IF($Q153=0,0,IF($H153="N/A",IF(AND($P153&lt;&gt;"",$O153&lt;&gt;"",IFERROR(VLOOKUP($O153,'Exceptions'!$A$5:$M$204,2,FALSE),"")="N/A determination",IFERROR(VLOOKUP($O153,'Exceptions'!$A$5:$M$204,13,FALSE),"")="Active",IFERROR(ISNUMBER(SEARCH($A153,IFERROR(VLOOKUP($O153,'Exceptions'!$A$5:$M$204,3,FALSE),""))),FALSE)),0,1),1)))</x:f>
      </x:c>
      <x:c r="T153" t="str">
        <x:f>IF($A153="","",IF($C153="","",IF($H153="N/A",IF(AND($P153&lt;&gt;"",$O153&lt;&gt;"",IFERROR(VLOOKUP($O153,'Exceptions'!$A$5:$M$204,2,FALSE),"")="N/A determination",IFERROR(VLOOKUP($O153,'Exceptions'!$A$5:$M$204,13,FALSE),"")="Active",IFERROR(ISNUMBER(SEARCH($A153,IFERROR(VLOOKUP($O153,'Exceptions'!$A$5:$M$204,3,FALSE),""))),FALSE)),"N/A","FAIL"),IF(OR($H153="Unknown",$H153="",$K153=0,$L153&lt;&gt;"Yes"),"UNKNOWN",IF($H153="Met",IF($K153&gt;=VALUE(RIGHT($G153,1)),"PASS","UNKNOWN"),IF(OR($H153="Partially met",$H153="Unmet"),"FAIL","UNKNOWN"))))))</x:f>
      </x:c>
      <x:c r="U153" t="str">
        <x:f>IF($A153="","",IF($S153=0,0,IF(AND($K153&gt;=1,$L153="Yes"),1,0)))</x:f>
      </x:c>
      <x:c r="V153" t="str">
        <x:f>IF($A153="","",IF(OR($S153=0,$H153="N/A",$L153&lt;&gt;"Yes"),0,$K153))</x:f>
      </x:c>
      <x:c r="AB153" t="str">
        <x:f>IF($A153="","",IF(AND($Q153=1,$H153="N/A",NOT(AND($P153&lt;&gt;"",$O153&lt;&gt;"",IFERROR(VLOOKUP($O153,'Exceptions'!$A$5:$M$204,2,FALSE),"")="N/A determination",IFERROR(VLOOKUP($O153,'Exceptions'!$A$5:$M$204,13,FALSE),"")="Active",IFERROR(ISNUMBER(SEARCH($A153,IFERROR(VLOOKUP($O153,'Exceptions'!$A$5:$M$204,3,FALSE),""))),FALSE)))),"MISSING OR INVALID N/A DECISION",IF(AND($Q153=1,OR($H153="Partially met",$H153="Unmet"),OR($K153&lt;1,$L153&lt;&gt;"Yes")),"KNOWN RATING NEEDS FRESH E1",IF(AND($Q153=1,$H153="Met",OR($K153&lt;VALUE(RIGHT($G153,1)),$L153&lt;&gt;"Yes")),"EVIDENCE BELOW MINIMUM",IF(AND($Q153=1,OR($H153="",$H153="Unknown")),"UNASSESSED",IF(AND($H153="N/A",AND($P153&lt;&gt;"",$O153&lt;&gt;"",IFERROR(VLOOKUP($O153,'Exceptions'!$A$5:$M$204,2,FALSE),"")="N/A determination",IFERROR(VLOOKUP($O153,'Exceptions'!$A$5:$M$204,13,FALSE),"")="Active",IFERROR(ISNUMBER(SEARCH($A153,IFERROR(VLOOKUP($O153,'Exceptions'!$A$5:$M$204,3,FALSE),""))),FALSE))),"N/A APPROVED",IF($O153&lt;&gt;"","EXCEPTION REVIEW","OK")))))))</x:f>
      </x:c>
    </x:row>
    <x:row r="154">
      <x:c r="H154" s="8"/>
      <x:c r="I154" t="str">
        <x:f>IF($A154="","",IF($H154="Met",1,IF($H154="Partially met",0.5,IF(OR($H154="Unmet",$H154="Unknown"),0,""))))</x:f>
      </x:c>
      <x:c r="J154" s="8"/>
      <x:c r="K154" t="str">
        <x:f>IF($A154="","",IF($J154="E4",4,IF($J154="E3",3,IF($J154="E2",2,IF($J154="E1",1,0)))))</x:f>
      </x:c>
      <x:c r="L154" s="8"/>
      <x:c r="M154" s="8"/>
      <x:c r="N154" s="8"/>
      <x:c r="O154" s="8"/>
      <x:c r="P154" s="8"/>
      <x:c r="Q154" t="str">
        <x:f>IF($A154="","",IF($D154="Baseline",1,IF($D154="Elevated",IF(OR('Profile'!$B$11="Elevated",'Profile'!$B$11="Critical"),1,0),IF($D154="Critical",IF('Profile'!$B$11="Critical",1,0),1))))</x:f>
      </x:c>
      <x:c r="R154" t="str">
        <x:f>IF($A154="","",IF($Q154=0,0,IF($H154="N/A",0,IF($H154="Met",IF(AND($K154&gt;=VALUE(RIGHT($G154,1)),$L154="Yes"),1,0),IF($H154="Partially met",IF(AND($K154&gt;=1,$L154="Yes"),0.5,0),0)))))</x:f>
      </x:c>
      <x:c r="S154" t="str">
        <x:f>IF($A154="","",IF($Q154=0,0,IF($H154="N/A",IF(AND($P154&lt;&gt;"",$O154&lt;&gt;"",IFERROR(VLOOKUP($O154,'Exceptions'!$A$5:$M$204,2,FALSE),"")="N/A determination",IFERROR(VLOOKUP($O154,'Exceptions'!$A$5:$M$204,13,FALSE),"")="Active",IFERROR(ISNUMBER(SEARCH($A154,IFERROR(VLOOKUP($O154,'Exceptions'!$A$5:$M$204,3,FALSE),""))),FALSE)),0,1),1)))</x:f>
      </x:c>
      <x:c r="T154" t="str">
        <x:f>IF($A154="","",IF($C154="","",IF($H154="N/A",IF(AND($P154&lt;&gt;"",$O154&lt;&gt;"",IFERROR(VLOOKUP($O154,'Exceptions'!$A$5:$M$204,2,FALSE),"")="N/A determination",IFERROR(VLOOKUP($O154,'Exceptions'!$A$5:$M$204,13,FALSE),"")="Active",IFERROR(ISNUMBER(SEARCH($A154,IFERROR(VLOOKUP($O154,'Exceptions'!$A$5:$M$204,3,FALSE),""))),FALSE)),"N/A","FAIL"),IF(OR($H154="Unknown",$H154="",$K154=0,$L154&lt;&gt;"Yes"),"UNKNOWN",IF($H154="Met",IF($K154&gt;=VALUE(RIGHT($G154,1)),"PASS","UNKNOWN"),IF(OR($H154="Partially met",$H154="Unmet"),"FAIL","UNKNOWN"))))))</x:f>
      </x:c>
      <x:c r="U154" t="str">
        <x:f>IF($A154="","",IF($S154=0,0,IF(AND($K154&gt;=1,$L154="Yes"),1,0)))</x:f>
      </x:c>
      <x:c r="V154" t="str">
        <x:f>IF($A154="","",IF(OR($S154=0,$H154="N/A",$L154&lt;&gt;"Yes"),0,$K154))</x:f>
      </x:c>
      <x:c r="AB154" t="str">
        <x:f>IF($A154="","",IF(AND($Q154=1,$H154="N/A",NOT(AND($P154&lt;&gt;"",$O154&lt;&gt;"",IFERROR(VLOOKUP($O154,'Exceptions'!$A$5:$M$204,2,FALSE),"")="N/A determination",IFERROR(VLOOKUP($O154,'Exceptions'!$A$5:$M$204,13,FALSE),"")="Active",IFERROR(ISNUMBER(SEARCH($A154,IFERROR(VLOOKUP($O154,'Exceptions'!$A$5:$M$204,3,FALSE),""))),FALSE)))),"MISSING OR INVALID N/A DECISION",IF(AND($Q154=1,OR($H154="Partially met",$H154="Unmet"),OR($K154&lt;1,$L154&lt;&gt;"Yes")),"KNOWN RATING NEEDS FRESH E1",IF(AND($Q154=1,$H154="Met",OR($K154&lt;VALUE(RIGHT($G154,1)),$L154&lt;&gt;"Yes")),"EVIDENCE BELOW MINIMUM",IF(AND($Q154=1,OR($H154="",$H154="Unknown")),"UNASSESSED",IF(AND($H154="N/A",AND($P154&lt;&gt;"",$O154&lt;&gt;"",IFERROR(VLOOKUP($O154,'Exceptions'!$A$5:$M$204,2,FALSE),"")="N/A determination",IFERROR(VLOOKUP($O154,'Exceptions'!$A$5:$M$204,13,FALSE),"")="Active",IFERROR(ISNUMBER(SEARCH($A154,IFERROR(VLOOKUP($O154,'Exceptions'!$A$5:$M$204,3,FALSE),""))),FALSE))),"N/A APPROVED",IF($O154&lt;&gt;"","EXCEPTION REVIEW","OK")))))))</x:f>
      </x:c>
    </x:row>
    <x:row r="155">
      <x:c r="H155" s="8"/>
      <x:c r="I155" t="str">
        <x:f>IF($A155="","",IF($H155="Met",1,IF($H155="Partially met",0.5,IF(OR($H155="Unmet",$H155="Unknown"),0,""))))</x:f>
      </x:c>
      <x:c r="J155" s="8"/>
      <x:c r="K155" t="str">
        <x:f>IF($A155="","",IF($J155="E4",4,IF($J155="E3",3,IF($J155="E2",2,IF($J155="E1",1,0)))))</x:f>
      </x:c>
      <x:c r="L155" s="8"/>
      <x:c r="M155" s="8"/>
      <x:c r="N155" s="8"/>
      <x:c r="O155" s="8"/>
      <x:c r="P155" s="8"/>
      <x:c r="Q155" t="str">
        <x:f>IF($A155="","",IF($D155="Baseline",1,IF($D155="Elevated",IF(OR('Profile'!$B$11="Elevated",'Profile'!$B$11="Critical"),1,0),IF($D155="Critical",IF('Profile'!$B$11="Critical",1,0),1))))</x:f>
      </x:c>
      <x:c r="R155" t="str">
        <x:f>IF($A155="","",IF($Q155=0,0,IF($H155="N/A",0,IF($H155="Met",IF(AND($K155&gt;=VALUE(RIGHT($G155,1)),$L155="Yes"),1,0),IF($H155="Partially met",IF(AND($K155&gt;=1,$L155="Yes"),0.5,0),0)))))</x:f>
      </x:c>
      <x:c r="S155" t="str">
        <x:f>IF($A155="","",IF($Q155=0,0,IF($H155="N/A",IF(AND($P155&lt;&gt;"",$O155&lt;&gt;"",IFERROR(VLOOKUP($O155,'Exceptions'!$A$5:$M$204,2,FALSE),"")="N/A determination",IFERROR(VLOOKUP($O155,'Exceptions'!$A$5:$M$204,13,FALSE),"")="Active",IFERROR(ISNUMBER(SEARCH($A155,IFERROR(VLOOKUP($O155,'Exceptions'!$A$5:$M$204,3,FALSE),""))),FALSE)),0,1),1)))</x:f>
      </x:c>
      <x:c r="T155" t="str">
        <x:f>IF($A155="","",IF($C155="","",IF($H155="N/A",IF(AND($P155&lt;&gt;"",$O155&lt;&gt;"",IFERROR(VLOOKUP($O155,'Exceptions'!$A$5:$M$204,2,FALSE),"")="N/A determination",IFERROR(VLOOKUP($O155,'Exceptions'!$A$5:$M$204,13,FALSE),"")="Active",IFERROR(ISNUMBER(SEARCH($A155,IFERROR(VLOOKUP($O155,'Exceptions'!$A$5:$M$204,3,FALSE),""))),FALSE)),"N/A","FAIL"),IF(OR($H155="Unknown",$H155="",$K155=0,$L155&lt;&gt;"Yes"),"UNKNOWN",IF($H155="Met",IF($K155&gt;=VALUE(RIGHT($G155,1)),"PASS","UNKNOWN"),IF(OR($H155="Partially met",$H155="Unmet"),"FAIL","UNKNOWN"))))))</x:f>
      </x:c>
      <x:c r="U155" t="str">
        <x:f>IF($A155="","",IF($S155=0,0,IF(AND($K155&gt;=1,$L155="Yes"),1,0)))</x:f>
      </x:c>
      <x:c r="V155" t="str">
        <x:f>IF($A155="","",IF(OR($S155=0,$H155="N/A",$L155&lt;&gt;"Yes"),0,$K155))</x:f>
      </x:c>
      <x:c r="AB155" t="str">
        <x:f>IF($A155="","",IF(AND($Q155=1,$H155="N/A",NOT(AND($P155&lt;&gt;"",$O155&lt;&gt;"",IFERROR(VLOOKUP($O155,'Exceptions'!$A$5:$M$204,2,FALSE),"")="N/A determination",IFERROR(VLOOKUP($O155,'Exceptions'!$A$5:$M$204,13,FALSE),"")="Active",IFERROR(ISNUMBER(SEARCH($A155,IFERROR(VLOOKUP($O155,'Exceptions'!$A$5:$M$204,3,FALSE),""))),FALSE)))),"MISSING OR INVALID N/A DECISION",IF(AND($Q155=1,OR($H155="Partially met",$H155="Unmet"),OR($K155&lt;1,$L155&lt;&gt;"Yes")),"KNOWN RATING NEEDS FRESH E1",IF(AND($Q155=1,$H155="Met",OR($K155&lt;VALUE(RIGHT($G155,1)),$L155&lt;&gt;"Yes")),"EVIDENCE BELOW MINIMUM",IF(AND($Q155=1,OR($H155="",$H155="Unknown")),"UNASSESSED",IF(AND($H155="N/A",AND($P155&lt;&gt;"",$O155&lt;&gt;"",IFERROR(VLOOKUP($O155,'Exceptions'!$A$5:$M$204,2,FALSE),"")="N/A determination",IFERROR(VLOOKUP($O155,'Exceptions'!$A$5:$M$204,13,FALSE),"")="Active",IFERROR(ISNUMBER(SEARCH($A155,IFERROR(VLOOKUP($O155,'Exceptions'!$A$5:$M$204,3,FALSE),""))),FALSE))),"N/A APPROVED",IF($O155&lt;&gt;"","EXCEPTION REVIEW","OK")))))))</x:f>
      </x:c>
    </x:row>
    <x:row r="156">
      <x:c r="H156" s="8"/>
      <x:c r="I156" t="str">
        <x:f>IF($A156="","",IF($H156="Met",1,IF($H156="Partially met",0.5,IF(OR($H156="Unmet",$H156="Unknown"),0,""))))</x:f>
      </x:c>
      <x:c r="J156" s="8"/>
      <x:c r="K156" t="str">
        <x:f>IF($A156="","",IF($J156="E4",4,IF($J156="E3",3,IF($J156="E2",2,IF($J156="E1",1,0)))))</x:f>
      </x:c>
      <x:c r="L156" s="8"/>
      <x:c r="M156" s="8"/>
      <x:c r="N156" s="8"/>
      <x:c r="O156" s="8"/>
      <x:c r="P156" s="8"/>
      <x:c r="Q156" t="str">
        <x:f>IF($A156="","",IF($D156="Baseline",1,IF($D156="Elevated",IF(OR('Profile'!$B$11="Elevated",'Profile'!$B$11="Critical"),1,0),IF($D156="Critical",IF('Profile'!$B$11="Critical",1,0),1))))</x:f>
      </x:c>
      <x:c r="R156" t="str">
        <x:f>IF($A156="","",IF($Q156=0,0,IF($H156="N/A",0,IF($H156="Met",IF(AND($K156&gt;=VALUE(RIGHT($G156,1)),$L156="Yes"),1,0),IF($H156="Partially met",IF(AND($K156&gt;=1,$L156="Yes"),0.5,0),0)))))</x:f>
      </x:c>
      <x:c r="S156" t="str">
        <x:f>IF($A156="","",IF($Q156=0,0,IF($H156="N/A",IF(AND($P156&lt;&gt;"",$O156&lt;&gt;"",IFERROR(VLOOKUP($O156,'Exceptions'!$A$5:$M$204,2,FALSE),"")="N/A determination",IFERROR(VLOOKUP($O156,'Exceptions'!$A$5:$M$204,13,FALSE),"")="Active",IFERROR(ISNUMBER(SEARCH($A156,IFERROR(VLOOKUP($O156,'Exceptions'!$A$5:$M$204,3,FALSE),""))),FALSE)),0,1),1)))</x:f>
      </x:c>
      <x:c r="T156" t="str">
        <x:f>IF($A156="","",IF($C156="","",IF($H156="N/A",IF(AND($P156&lt;&gt;"",$O156&lt;&gt;"",IFERROR(VLOOKUP($O156,'Exceptions'!$A$5:$M$204,2,FALSE),"")="N/A determination",IFERROR(VLOOKUP($O156,'Exceptions'!$A$5:$M$204,13,FALSE),"")="Active",IFERROR(ISNUMBER(SEARCH($A156,IFERROR(VLOOKUP($O156,'Exceptions'!$A$5:$M$204,3,FALSE),""))),FALSE)),"N/A","FAIL"),IF(OR($H156="Unknown",$H156="",$K156=0,$L156&lt;&gt;"Yes"),"UNKNOWN",IF($H156="Met",IF($K156&gt;=VALUE(RIGHT($G156,1)),"PASS","UNKNOWN"),IF(OR($H156="Partially met",$H156="Unmet"),"FAIL","UNKNOWN"))))))</x:f>
      </x:c>
      <x:c r="U156" t="str">
        <x:f>IF($A156="","",IF($S156=0,0,IF(AND($K156&gt;=1,$L156="Yes"),1,0)))</x:f>
      </x:c>
      <x:c r="V156" t="str">
        <x:f>IF($A156="","",IF(OR($S156=0,$H156="N/A",$L156&lt;&gt;"Yes"),0,$K156))</x:f>
      </x:c>
      <x:c r="AB156" t="str">
        <x:f>IF($A156="","",IF(AND($Q156=1,$H156="N/A",NOT(AND($P156&lt;&gt;"",$O156&lt;&gt;"",IFERROR(VLOOKUP($O156,'Exceptions'!$A$5:$M$204,2,FALSE),"")="N/A determination",IFERROR(VLOOKUP($O156,'Exceptions'!$A$5:$M$204,13,FALSE),"")="Active",IFERROR(ISNUMBER(SEARCH($A156,IFERROR(VLOOKUP($O156,'Exceptions'!$A$5:$M$204,3,FALSE),""))),FALSE)))),"MISSING OR INVALID N/A DECISION",IF(AND($Q156=1,OR($H156="Partially met",$H156="Unmet"),OR($K156&lt;1,$L156&lt;&gt;"Yes")),"KNOWN RATING NEEDS FRESH E1",IF(AND($Q156=1,$H156="Met",OR($K156&lt;VALUE(RIGHT($G156,1)),$L156&lt;&gt;"Yes")),"EVIDENCE BELOW MINIMUM",IF(AND($Q156=1,OR($H156="",$H156="Unknown")),"UNASSESSED",IF(AND($H156="N/A",AND($P156&lt;&gt;"",$O156&lt;&gt;"",IFERROR(VLOOKUP($O156,'Exceptions'!$A$5:$M$204,2,FALSE),"")="N/A determination",IFERROR(VLOOKUP($O156,'Exceptions'!$A$5:$M$204,13,FALSE),"")="Active",IFERROR(ISNUMBER(SEARCH($A156,IFERROR(VLOOKUP($O156,'Exceptions'!$A$5:$M$204,3,FALSE),""))),FALSE))),"N/A APPROVED",IF($O156&lt;&gt;"","EXCEPTION REVIEW","OK")))))))</x:f>
      </x:c>
    </x:row>
    <x:row r="157">
      <x:c r="H157" s="8"/>
      <x:c r="I157" t="str">
        <x:f>IF($A157="","",IF($H157="Met",1,IF($H157="Partially met",0.5,IF(OR($H157="Unmet",$H157="Unknown"),0,""))))</x:f>
      </x:c>
      <x:c r="J157" s="8"/>
      <x:c r="K157" t="str">
        <x:f>IF($A157="","",IF($J157="E4",4,IF($J157="E3",3,IF($J157="E2",2,IF($J157="E1",1,0)))))</x:f>
      </x:c>
      <x:c r="L157" s="8"/>
      <x:c r="M157" s="8"/>
      <x:c r="N157" s="8"/>
      <x:c r="O157" s="8"/>
      <x:c r="P157" s="8"/>
      <x:c r="Q157" t="str">
        <x:f>IF($A157="","",IF($D157="Baseline",1,IF($D157="Elevated",IF(OR('Profile'!$B$11="Elevated",'Profile'!$B$11="Critical"),1,0),IF($D157="Critical",IF('Profile'!$B$11="Critical",1,0),1))))</x:f>
      </x:c>
      <x:c r="R157" t="str">
        <x:f>IF($A157="","",IF($Q157=0,0,IF($H157="N/A",0,IF($H157="Met",IF(AND($K157&gt;=VALUE(RIGHT($G157,1)),$L157="Yes"),1,0),IF($H157="Partially met",IF(AND($K157&gt;=1,$L157="Yes"),0.5,0),0)))))</x:f>
      </x:c>
      <x:c r="S157" t="str">
        <x:f>IF($A157="","",IF($Q157=0,0,IF($H157="N/A",IF(AND($P157&lt;&gt;"",$O157&lt;&gt;"",IFERROR(VLOOKUP($O157,'Exceptions'!$A$5:$M$204,2,FALSE),"")="N/A determination",IFERROR(VLOOKUP($O157,'Exceptions'!$A$5:$M$204,13,FALSE),"")="Active",IFERROR(ISNUMBER(SEARCH($A157,IFERROR(VLOOKUP($O157,'Exceptions'!$A$5:$M$204,3,FALSE),""))),FALSE)),0,1),1)))</x:f>
      </x:c>
      <x:c r="T157" t="str">
        <x:f>IF($A157="","",IF($C157="","",IF($H157="N/A",IF(AND($P157&lt;&gt;"",$O157&lt;&gt;"",IFERROR(VLOOKUP($O157,'Exceptions'!$A$5:$M$204,2,FALSE),"")="N/A determination",IFERROR(VLOOKUP($O157,'Exceptions'!$A$5:$M$204,13,FALSE),"")="Active",IFERROR(ISNUMBER(SEARCH($A157,IFERROR(VLOOKUP($O157,'Exceptions'!$A$5:$M$204,3,FALSE),""))),FALSE)),"N/A","FAIL"),IF(OR($H157="Unknown",$H157="",$K157=0,$L157&lt;&gt;"Yes"),"UNKNOWN",IF($H157="Met",IF($K157&gt;=VALUE(RIGHT($G157,1)),"PASS","UNKNOWN"),IF(OR($H157="Partially met",$H157="Unmet"),"FAIL","UNKNOWN"))))))</x:f>
      </x:c>
      <x:c r="U157" t="str">
        <x:f>IF($A157="","",IF($S157=0,0,IF(AND($K157&gt;=1,$L157="Yes"),1,0)))</x:f>
      </x:c>
      <x:c r="V157" t="str">
        <x:f>IF($A157="","",IF(OR($S157=0,$H157="N/A",$L157&lt;&gt;"Yes"),0,$K157))</x:f>
      </x:c>
      <x:c r="AB157" t="str">
        <x:f>IF($A157="","",IF(AND($Q157=1,$H157="N/A",NOT(AND($P157&lt;&gt;"",$O157&lt;&gt;"",IFERROR(VLOOKUP($O157,'Exceptions'!$A$5:$M$204,2,FALSE),"")="N/A determination",IFERROR(VLOOKUP($O157,'Exceptions'!$A$5:$M$204,13,FALSE),"")="Active",IFERROR(ISNUMBER(SEARCH($A157,IFERROR(VLOOKUP($O157,'Exceptions'!$A$5:$M$204,3,FALSE),""))),FALSE)))),"MISSING OR INVALID N/A DECISION",IF(AND($Q157=1,OR($H157="Partially met",$H157="Unmet"),OR($K157&lt;1,$L157&lt;&gt;"Yes")),"KNOWN RATING NEEDS FRESH E1",IF(AND($Q157=1,$H157="Met",OR($K157&lt;VALUE(RIGHT($G157,1)),$L157&lt;&gt;"Yes")),"EVIDENCE BELOW MINIMUM",IF(AND($Q157=1,OR($H157="",$H157="Unknown")),"UNASSESSED",IF(AND($H157="N/A",AND($P157&lt;&gt;"",$O157&lt;&gt;"",IFERROR(VLOOKUP($O157,'Exceptions'!$A$5:$M$204,2,FALSE),"")="N/A determination",IFERROR(VLOOKUP($O157,'Exceptions'!$A$5:$M$204,13,FALSE),"")="Active",IFERROR(ISNUMBER(SEARCH($A157,IFERROR(VLOOKUP($O157,'Exceptions'!$A$5:$M$204,3,FALSE),""))),FALSE))),"N/A APPROVED",IF($O157&lt;&gt;"","EXCEPTION REVIEW","OK")))))))</x:f>
      </x:c>
    </x:row>
    <x:row r="158">
      <x:c r="H158" s="8"/>
      <x:c r="I158" t="str">
        <x:f>IF($A158="","",IF($H158="Met",1,IF($H158="Partially met",0.5,IF(OR($H158="Unmet",$H158="Unknown"),0,""))))</x:f>
      </x:c>
      <x:c r="J158" s="8"/>
      <x:c r="K158" t="str">
        <x:f>IF($A158="","",IF($J158="E4",4,IF($J158="E3",3,IF($J158="E2",2,IF($J158="E1",1,0)))))</x:f>
      </x:c>
      <x:c r="L158" s="8"/>
      <x:c r="M158" s="8"/>
      <x:c r="N158" s="8"/>
      <x:c r="O158" s="8"/>
      <x:c r="P158" s="8"/>
      <x:c r="Q158" t="str">
        <x:f>IF($A158="","",IF($D158="Baseline",1,IF($D158="Elevated",IF(OR('Profile'!$B$11="Elevated",'Profile'!$B$11="Critical"),1,0),IF($D158="Critical",IF('Profile'!$B$11="Critical",1,0),1))))</x:f>
      </x:c>
      <x:c r="R158" t="str">
        <x:f>IF($A158="","",IF($Q158=0,0,IF($H158="N/A",0,IF($H158="Met",IF(AND($K158&gt;=VALUE(RIGHT($G158,1)),$L158="Yes"),1,0),IF($H158="Partially met",IF(AND($K158&gt;=1,$L158="Yes"),0.5,0),0)))))</x:f>
      </x:c>
      <x:c r="S158" t="str">
        <x:f>IF($A158="","",IF($Q158=0,0,IF($H158="N/A",IF(AND($P158&lt;&gt;"",$O158&lt;&gt;"",IFERROR(VLOOKUP($O158,'Exceptions'!$A$5:$M$204,2,FALSE),"")="N/A determination",IFERROR(VLOOKUP($O158,'Exceptions'!$A$5:$M$204,13,FALSE),"")="Active",IFERROR(ISNUMBER(SEARCH($A158,IFERROR(VLOOKUP($O158,'Exceptions'!$A$5:$M$204,3,FALSE),""))),FALSE)),0,1),1)))</x:f>
      </x:c>
      <x:c r="T158" t="str">
        <x:f>IF($A158="","",IF($C158="","",IF($H158="N/A",IF(AND($P158&lt;&gt;"",$O158&lt;&gt;"",IFERROR(VLOOKUP($O158,'Exceptions'!$A$5:$M$204,2,FALSE),"")="N/A determination",IFERROR(VLOOKUP($O158,'Exceptions'!$A$5:$M$204,13,FALSE),"")="Active",IFERROR(ISNUMBER(SEARCH($A158,IFERROR(VLOOKUP($O158,'Exceptions'!$A$5:$M$204,3,FALSE),""))),FALSE)),"N/A","FAIL"),IF(OR($H158="Unknown",$H158="",$K158=0,$L158&lt;&gt;"Yes"),"UNKNOWN",IF($H158="Met",IF($K158&gt;=VALUE(RIGHT($G158,1)),"PASS","UNKNOWN"),IF(OR($H158="Partially met",$H158="Unmet"),"FAIL","UNKNOWN"))))))</x:f>
      </x:c>
      <x:c r="U158" t="str">
        <x:f>IF($A158="","",IF($S158=0,0,IF(AND($K158&gt;=1,$L158="Yes"),1,0)))</x:f>
      </x:c>
      <x:c r="V158" t="str">
        <x:f>IF($A158="","",IF(OR($S158=0,$H158="N/A",$L158&lt;&gt;"Yes"),0,$K158))</x:f>
      </x:c>
      <x:c r="AB158" t="str">
        <x:f>IF($A158="","",IF(AND($Q158=1,$H158="N/A",NOT(AND($P158&lt;&gt;"",$O158&lt;&gt;"",IFERROR(VLOOKUP($O158,'Exceptions'!$A$5:$M$204,2,FALSE),"")="N/A determination",IFERROR(VLOOKUP($O158,'Exceptions'!$A$5:$M$204,13,FALSE),"")="Active",IFERROR(ISNUMBER(SEARCH($A158,IFERROR(VLOOKUP($O158,'Exceptions'!$A$5:$M$204,3,FALSE),""))),FALSE)))),"MISSING OR INVALID N/A DECISION",IF(AND($Q158=1,OR($H158="Partially met",$H158="Unmet"),OR($K158&lt;1,$L158&lt;&gt;"Yes")),"KNOWN RATING NEEDS FRESH E1",IF(AND($Q158=1,$H158="Met",OR($K158&lt;VALUE(RIGHT($G158,1)),$L158&lt;&gt;"Yes")),"EVIDENCE BELOW MINIMUM",IF(AND($Q158=1,OR($H158="",$H158="Unknown")),"UNASSESSED",IF(AND($H158="N/A",AND($P158&lt;&gt;"",$O158&lt;&gt;"",IFERROR(VLOOKUP($O158,'Exceptions'!$A$5:$M$204,2,FALSE),"")="N/A determination",IFERROR(VLOOKUP($O158,'Exceptions'!$A$5:$M$204,13,FALSE),"")="Active",IFERROR(ISNUMBER(SEARCH($A158,IFERROR(VLOOKUP($O158,'Exceptions'!$A$5:$M$204,3,FALSE),""))),FALSE))),"N/A APPROVED",IF($O158&lt;&gt;"","EXCEPTION REVIEW","OK")))))))</x:f>
      </x:c>
    </x:row>
    <x:row r="159">
      <x:c r="H159" s="8"/>
      <x:c r="I159" t="str">
        <x:f>IF($A159="","",IF($H159="Met",1,IF($H159="Partially met",0.5,IF(OR($H159="Unmet",$H159="Unknown"),0,""))))</x:f>
      </x:c>
      <x:c r="J159" s="8"/>
      <x:c r="K159" t="str">
        <x:f>IF($A159="","",IF($J159="E4",4,IF($J159="E3",3,IF($J159="E2",2,IF($J159="E1",1,0)))))</x:f>
      </x:c>
      <x:c r="L159" s="8"/>
      <x:c r="M159" s="8"/>
      <x:c r="N159" s="8"/>
      <x:c r="O159" s="8"/>
      <x:c r="P159" s="8"/>
      <x:c r="Q159" t="str">
        <x:f>IF($A159="","",IF($D159="Baseline",1,IF($D159="Elevated",IF(OR('Profile'!$B$11="Elevated",'Profile'!$B$11="Critical"),1,0),IF($D159="Critical",IF('Profile'!$B$11="Critical",1,0),1))))</x:f>
      </x:c>
      <x:c r="R159" t="str">
        <x:f>IF($A159="","",IF($Q159=0,0,IF($H159="N/A",0,IF($H159="Met",IF(AND($K159&gt;=VALUE(RIGHT($G159,1)),$L159="Yes"),1,0),IF($H159="Partially met",IF(AND($K159&gt;=1,$L159="Yes"),0.5,0),0)))))</x:f>
      </x:c>
      <x:c r="S159" t="str">
        <x:f>IF($A159="","",IF($Q159=0,0,IF($H159="N/A",IF(AND($P159&lt;&gt;"",$O159&lt;&gt;"",IFERROR(VLOOKUP($O159,'Exceptions'!$A$5:$M$204,2,FALSE),"")="N/A determination",IFERROR(VLOOKUP($O159,'Exceptions'!$A$5:$M$204,13,FALSE),"")="Active",IFERROR(ISNUMBER(SEARCH($A159,IFERROR(VLOOKUP($O159,'Exceptions'!$A$5:$M$204,3,FALSE),""))),FALSE)),0,1),1)))</x:f>
      </x:c>
      <x:c r="T159" t="str">
        <x:f>IF($A159="","",IF($C159="","",IF($H159="N/A",IF(AND($P159&lt;&gt;"",$O159&lt;&gt;"",IFERROR(VLOOKUP($O159,'Exceptions'!$A$5:$M$204,2,FALSE),"")="N/A determination",IFERROR(VLOOKUP($O159,'Exceptions'!$A$5:$M$204,13,FALSE),"")="Active",IFERROR(ISNUMBER(SEARCH($A159,IFERROR(VLOOKUP($O159,'Exceptions'!$A$5:$M$204,3,FALSE),""))),FALSE)),"N/A","FAIL"),IF(OR($H159="Unknown",$H159="",$K159=0,$L159&lt;&gt;"Yes"),"UNKNOWN",IF($H159="Met",IF($K159&gt;=VALUE(RIGHT($G159,1)),"PASS","UNKNOWN"),IF(OR($H159="Partially met",$H159="Unmet"),"FAIL","UNKNOWN"))))))</x:f>
      </x:c>
      <x:c r="U159" t="str">
        <x:f>IF($A159="","",IF($S159=0,0,IF(AND($K159&gt;=1,$L159="Yes"),1,0)))</x:f>
      </x:c>
      <x:c r="V159" t="str">
        <x:f>IF($A159="","",IF(OR($S159=0,$H159="N/A",$L159&lt;&gt;"Yes"),0,$K159))</x:f>
      </x:c>
      <x:c r="AB159" t="str">
        <x:f>IF($A159="","",IF(AND($Q159=1,$H159="N/A",NOT(AND($P159&lt;&gt;"",$O159&lt;&gt;"",IFERROR(VLOOKUP($O159,'Exceptions'!$A$5:$M$204,2,FALSE),"")="N/A determination",IFERROR(VLOOKUP($O159,'Exceptions'!$A$5:$M$204,13,FALSE),"")="Active",IFERROR(ISNUMBER(SEARCH($A159,IFERROR(VLOOKUP($O159,'Exceptions'!$A$5:$M$204,3,FALSE),""))),FALSE)))),"MISSING OR INVALID N/A DECISION",IF(AND($Q159=1,OR($H159="Partially met",$H159="Unmet"),OR($K159&lt;1,$L159&lt;&gt;"Yes")),"KNOWN RATING NEEDS FRESH E1",IF(AND($Q159=1,$H159="Met",OR($K159&lt;VALUE(RIGHT($G159,1)),$L159&lt;&gt;"Yes")),"EVIDENCE BELOW MINIMUM",IF(AND($Q159=1,OR($H159="",$H159="Unknown")),"UNASSESSED",IF(AND($H159="N/A",AND($P159&lt;&gt;"",$O159&lt;&gt;"",IFERROR(VLOOKUP($O159,'Exceptions'!$A$5:$M$204,2,FALSE),"")="N/A determination",IFERROR(VLOOKUP($O159,'Exceptions'!$A$5:$M$204,13,FALSE),"")="Active",IFERROR(ISNUMBER(SEARCH($A159,IFERROR(VLOOKUP($O159,'Exceptions'!$A$5:$M$204,3,FALSE),""))),FALSE))),"N/A APPROVED",IF($O159&lt;&gt;"","EXCEPTION REVIEW","OK")))))))</x:f>
      </x:c>
    </x:row>
    <x:row r="160">
      <x:c r="H160" s="8"/>
      <x:c r="I160" t="str">
        <x:f>IF($A160="","",IF($H160="Met",1,IF($H160="Partially met",0.5,IF(OR($H160="Unmet",$H160="Unknown"),0,""))))</x:f>
      </x:c>
      <x:c r="J160" s="8"/>
      <x:c r="K160" t="str">
        <x:f>IF($A160="","",IF($J160="E4",4,IF($J160="E3",3,IF($J160="E2",2,IF($J160="E1",1,0)))))</x:f>
      </x:c>
      <x:c r="L160" s="8"/>
      <x:c r="M160" s="8"/>
      <x:c r="N160" s="8"/>
      <x:c r="O160" s="8"/>
      <x:c r="P160" s="8"/>
      <x:c r="Q160" t="str">
        <x:f>IF($A160="","",IF($D160="Baseline",1,IF($D160="Elevated",IF(OR('Profile'!$B$11="Elevated",'Profile'!$B$11="Critical"),1,0),IF($D160="Critical",IF('Profile'!$B$11="Critical",1,0),1))))</x:f>
      </x:c>
      <x:c r="R160" t="str">
        <x:f>IF($A160="","",IF($Q160=0,0,IF($H160="N/A",0,IF($H160="Met",IF(AND($K160&gt;=VALUE(RIGHT($G160,1)),$L160="Yes"),1,0),IF($H160="Partially met",IF(AND($K160&gt;=1,$L160="Yes"),0.5,0),0)))))</x:f>
      </x:c>
      <x:c r="S160" t="str">
        <x:f>IF($A160="","",IF($Q160=0,0,IF($H160="N/A",IF(AND($P160&lt;&gt;"",$O160&lt;&gt;"",IFERROR(VLOOKUP($O160,'Exceptions'!$A$5:$M$204,2,FALSE),"")="N/A determination",IFERROR(VLOOKUP($O160,'Exceptions'!$A$5:$M$204,13,FALSE),"")="Active",IFERROR(ISNUMBER(SEARCH($A160,IFERROR(VLOOKUP($O160,'Exceptions'!$A$5:$M$204,3,FALSE),""))),FALSE)),0,1),1)))</x:f>
      </x:c>
      <x:c r="T160" t="str">
        <x:f>IF($A160="","",IF($C160="","",IF($H160="N/A",IF(AND($P160&lt;&gt;"",$O160&lt;&gt;"",IFERROR(VLOOKUP($O160,'Exceptions'!$A$5:$M$204,2,FALSE),"")="N/A determination",IFERROR(VLOOKUP($O160,'Exceptions'!$A$5:$M$204,13,FALSE),"")="Active",IFERROR(ISNUMBER(SEARCH($A160,IFERROR(VLOOKUP($O160,'Exceptions'!$A$5:$M$204,3,FALSE),""))),FALSE)),"N/A","FAIL"),IF(OR($H160="Unknown",$H160="",$K160=0,$L160&lt;&gt;"Yes"),"UNKNOWN",IF($H160="Met",IF($K160&gt;=VALUE(RIGHT($G160,1)),"PASS","UNKNOWN"),IF(OR($H160="Partially met",$H160="Unmet"),"FAIL","UNKNOWN"))))))</x:f>
      </x:c>
      <x:c r="U160" t="str">
        <x:f>IF($A160="","",IF($S160=0,0,IF(AND($K160&gt;=1,$L160="Yes"),1,0)))</x:f>
      </x:c>
      <x:c r="V160" t="str">
        <x:f>IF($A160="","",IF(OR($S160=0,$H160="N/A",$L160&lt;&gt;"Yes"),0,$K160))</x:f>
      </x:c>
      <x:c r="AB160" t="str">
        <x:f>IF($A160="","",IF(AND($Q160=1,$H160="N/A",NOT(AND($P160&lt;&gt;"",$O160&lt;&gt;"",IFERROR(VLOOKUP($O160,'Exceptions'!$A$5:$M$204,2,FALSE),"")="N/A determination",IFERROR(VLOOKUP($O160,'Exceptions'!$A$5:$M$204,13,FALSE),"")="Active",IFERROR(ISNUMBER(SEARCH($A160,IFERROR(VLOOKUP($O160,'Exceptions'!$A$5:$M$204,3,FALSE),""))),FALSE)))),"MISSING OR INVALID N/A DECISION",IF(AND($Q160=1,OR($H160="Partially met",$H160="Unmet"),OR($K160&lt;1,$L160&lt;&gt;"Yes")),"KNOWN RATING NEEDS FRESH E1",IF(AND($Q160=1,$H160="Met",OR($K160&lt;VALUE(RIGHT($G160,1)),$L160&lt;&gt;"Yes")),"EVIDENCE BELOW MINIMUM",IF(AND($Q160=1,OR($H160="",$H160="Unknown")),"UNASSESSED",IF(AND($H160="N/A",AND($P160&lt;&gt;"",$O160&lt;&gt;"",IFERROR(VLOOKUP($O160,'Exceptions'!$A$5:$M$204,2,FALSE),"")="N/A determination",IFERROR(VLOOKUP($O160,'Exceptions'!$A$5:$M$204,13,FALSE),"")="Active",IFERROR(ISNUMBER(SEARCH($A160,IFERROR(VLOOKUP($O160,'Exceptions'!$A$5:$M$204,3,FALSE),""))),FALSE))),"N/A APPROVED",IF($O160&lt;&gt;"","EXCEPTION REVIEW","OK")))))))</x:f>
      </x:c>
    </x:row>
    <x:row r="161">
      <x:c r="H161" s="8"/>
      <x:c r="I161" t="str">
        <x:f>IF($A161="","",IF($H161="Met",1,IF($H161="Partially met",0.5,IF(OR($H161="Unmet",$H161="Unknown"),0,""))))</x:f>
      </x:c>
      <x:c r="J161" s="8"/>
      <x:c r="K161" t="str">
        <x:f>IF($A161="","",IF($J161="E4",4,IF($J161="E3",3,IF($J161="E2",2,IF($J161="E1",1,0)))))</x:f>
      </x:c>
      <x:c r="L161" s="8"/>
      <x:c r="M161" s="8"/>
      <x:c r="N161" s="8"/>
      <x:c r="O161" s="8"/>
      <x:c r="P161" s="8"/>
      <x:c r="Q161" t="str">
        <x:f>IF($A161="","",IF($D161="Baseline",1,IF($D161="Elevated",IF(OR('Profile'!$B$11="Elevated",'Profile'!$B$11="Critical"),1,0),IF($D161="Critical",IF('Profile'!$B$11="Critical",1,0),1))))</x:f>
      </x:c>
      <x:c r="R161" t="str">
        <x:f>IF($A161="","",IF($Q161=0,0,IF($H161="N/A",0,IF($H161="Met",IF(AND($K161&gt;=VALUE(RIGHT($G161,1)),$L161="Yes"),1,0),IF($H161="Partially met",IF(AND($K161&gt;=1,$L161="Yes"),0.5,0),0)))))</x:f>
      </x:c>
      <x:c r="S161" t="str">
        <x:f>IF($A161="","",IF($Q161=0,0,IF($H161="N/A",IF(AND($P161&lt;&gt;"",$O161&lt;&gt;"",IFERROR(VLOOKUP($O161,'Exceptions'!$A$5:$M$204,2,FALSE),"")="N/A determination",IFERROR(VLOOKUP($O161,'Exceptions'!$A$5:$M$204,13,FALSE),"")="Active",IFERROR(ISNUMBER(SEARCH($A161,IFERROR(VLOOKUP($O161,'Exceptions'!$A$5:$M$204,3,FALSE),""))),FALSE)),0,1),1)))</x:f>
      </x:c>
      <x:c r="T161" t="str">
        <x:f>IF($A161="","",IF($C161="","",IF($H161="N/A",IF(AND($P161&lt;&gt;"",$O161&lt;&gt;"",IFERROR(VLOOKUP($O161,'Exceptions'!$A$5:$M$204,2,FALSE),"")="N/A determination",IFERROR(VLOOKUP($O161,'Exceptions'!$A$5:$M$204,13,FALSE),"")="Active",IFERROR(ISNUMBER(SEARCH($A161,IFERROR(VLOOKUP($O161,'Exceptions'!$A$5:$M$204,3,FALSE),""))),FALSE)),"N/A","FAIL"),IF(OR($H161="Unknown",$H161="",$K161=0,$L161&lt;&gt;"Yes"),"UNKNOWN",IF($H161="Met",IF($K161&gt;=VALUE(RIGHT($G161,1)),"PASS","UNKNOWN"),IF(OR($H161="Partially met",$H161="Unmet"),"FAIL","UNKNOWN"))))))</x:f>
      </x:c>
      <x:c r="U161" t="str">
        <x:f>IF($A161="","",IF($S161=0,0,IF(AND($K161&gt;=1,$L161="Yes"),1,0)))</x:f>
      </x:c>
      <x:c r="V161" t="str">
        <x:f>IF($A161="","",IF(OR($S161=0,$H161="N/A",$L161&lt;&gt;"Yes"),0,$K161))</x:f>
      </x:c>
      <x:c r="AB161" t="str">
        <x:f>IF($A161="","",IF(AND($Q161=1,$H161="N/A",NOT(AND($P161&lt;&gt;"",$O161&lt;&gt;"",IFERROR(VLOOKUP($O161,'Exceptions'!$A$5:$M$204,2,FALSE),"")="N/A determination",IFERROR(VLOOKUP($O161,'Exceptions'!$A$5:$M$204,13,FALSE),"")="Active",IFERROR(ISNUMBER(SEARCH($A161,IFERROR(VLOOKUP($O161,'Exceptions'!$A$5:$M$204,3,FALSE),""))),FALSE)))),"MISSING OR INVALID N/A DECISION",IF(AND($Q161=1,OR($H161="Partially met",$H161="Unmet"),OR($K161&lt;1,$L161&lt;&gt;"Yes")),"KNOWN RATING NEEDS FRESH E1",IF(AND($Q161=1,$H161="Met",OR($K161&lt;VALUE(RIGHT($G161,1)),$L161&lt;&gt;"Yes")),"EVIDENCE BELOW MINIMUM",IF(AND($Q161=1,OR($H161="",$H161="Unknown")),"UNASSESSED",IF(AND($H161="N/A",AND($P161&lt;&gt;"",$O161&lt;&gt;"",IFERROR(VLOOKUP($O161,'Exceptions'!$A$5:$M$204,2,FALSE),"")="N/A determination",IFERROR(VLOOKUP($O161,'Exceptions'!$A$5:$M$204,13,FALSE),"")="Active",IFERROR(ISNUMBER(SEARCH($A161,IFERROR(VLOOKUP($O161,'Exceptions'!$A$5:$M$204,3,FALSE),""))),FALSE))),"N/A APPROVED",IF($O161&lt;&gt;"","EXCEPTION REVIEW","OK")))))))</x:f>
      </x:c>
    </x:row>
    <x:row r="162">
      <x:c r="H162" s="8"/>
      <x:c r="I162" t="str">
        <x:f>IF($A162="","",IF($H162="Met",1,IF($H162="Partially met",0.5,IF(OR($H162="Unmet",$H162="Unknown"),0,""))))</x:f>
      </x:c>
      <x:c r="J162" s="8"/>
      <x:c r="K162" t="str">
        <x:f>IF($A162="","",IF($J162="E4",4,IF($J162="E3",3,IF($J162="E2",2,IF($J162="E1",1,0)))))</x:f>
      </x:c>
      <x:c r="L162" s="8"/>
      <x:c r="M162" s="8"/>
      <x:c r="N162" s="8"/>
      <x:c r="O162" s="8"/>
      <x:c r="P162" s="8"/>
      <x:c r="Q162" t="str">
        <x:f>IF($A162="","",IF($D162="Baseline",1,IF($D162="Elevated",IF(OR('Profile'!$B$11="Elevated",'Profile'!$B$11="Critical"),1,0),IF($D162="Critical",IF('Profile'!$B$11="Critical",1,0),1))))</x:f>
      </x:c>
      <x:c r="R162" t="str">
        <x:f>IF($A162="","",IF($Q162=0,0,IF($H162="N/A",0,IF($H162="Met",IF(AND($K162&gt;=VALUE(RIGHT($G162,1)),$L162="Yes"),1,0),IF($H162="Partially met",IF(AND($K162&gt;=1,$L162="Yes"),0.5,0),0)))))</x:f>
      </x:c>
      <x:c r="S162" t="str">
        <x:f>IF($A162="","",IF($Q162=0,0,IF($H162="N/A",IF(AND($P162&lt;&gt;"",$O162&lt;&gt;"",IFERROR(VLOOKUP($O162,'Exceptions'!$A$5:$M$204,2,FALSE),"")="N/A determination",IFERROR(VLOOKUP($O162,'Exceptions'!$A$5:$M$204,13,FALSE),"")="Active",IFERROR(ISNUMBER(SEARCH($A162,IFERROR(VLOOKUP($O162,'Exceptions'!$A$5:$M$204,3,FALSE),""))),FALSE)),0,1),1)))</x:f>
      </x:c>
      <x:c r="T162" t="str">
        <x:f>IF($A162="","",IF($C162="","",IF($H162="N/A",IF(AND($P162&lt;&gt;"",$O162&lt;&gt;"",IFERROR(VLOOKUP($O162,'Exceptions'!$A$5:$M$204,2,FALSE),"")="N/A determination",IFERROR(VLOOKUP($O162,'Exceptions'!$A$5:$M$204,13,FALSE),"")="Active",IFERROR(ISNUMBER(SEARCH($A162,IFERROR(VLOOKUP($O162,'Exceptions'!$A$5:$M$204,3,FALSE),""))),FALSE)),"N/A","FAIL"),IF(OR($H162="Unknown",$H162="",$K162=0,$L162&lt;&gt;"Yes"),"UNKNOWN",IF($H162="Met",IF($K162&gt;=VALUE(RIGHT($G162,1)),"PASS","UNKNOWN"),IF(OR($H162="Partially met",$H162="Unmet"),"FAIL","UNKNOWN"))))))</x:f>
      </x:c>
      <x:c r="U162" t="str">
        <x:f>IF($A162="","",IF($S162=0,0,IF(AND($K162&gt;=1,$L162="Yes"),1,0)))</x:f>
      </x:c>
      <x:c r="V162" t="str">
        <x:f>IF($A162="","",IF(OR($S162=0,$H162="N/A",$L162&lt;&gt;"Yes"),0,$K162))</x:f>
      </x:c>
      <x:c r="AB162" t="str">
        <x:f>IF($A162="","",IF(AND($Q162=1,$H162="N/A",NOT(AND($P162&lt;&gt;"",$O162&lt;&gt;"",IFERROR(VLOOKUP($O162,'Exceptions'!$A$5:$M$204,2,FALSE),"")="N/A determination",IFERROR(VLOOKUP($O162,'Exceptions'!$A$5:$M$204,13,FALSE),"")="Active",IFERROR(ISNUMBER(SEARCH($A162,IFERROR(VLOOKUP($O162,'Exceptions'!$A$5:$M$204,3,FALSE),""))),FALSE)))),"MISSING OR INVALID N/A DECISION",IF(AND($Q162=1,OR($H162="Partially met",$H162="Unmet"),OR($K162&lt;1,$L162&lt;&gt;"Yes")),"KNOWN RATING NEEDS FRESH E1",IF(AND($Q162=1,$H162="Met",OR($K162&lt;VALUE(RIGHT($G162,1)),$L162&lt;&gt;"Yes")),"EVIDENCE BELOW MINIMUM",IF(AND($Q162=1,OR($H162="",$H162="Unknown")),"UNASSESSED",IF(AND($H162="N/A",AND($P162&lt;&gt;"",$O162&lt;&gt;"",IFERROR(VLOOKUP($O162,'Exceptions'!$A$5:$M$204,2,FALSE),"")="N/A determination",IFERROR(VLOOKUP($O162,'Exceptions'!$A$5:$M$204,13,FALSE),"")="Active",IFERROR(ISNUMBER(SEARCH($A162,IFERROR(VLOOKUP($O162,'Exceptions'!$A$5:$M$204,3,FALSE),""))),FALSE))),"N/A APPROVED",IF($O162&lt;&gt;"","EXCEPTION REVIEW","OK")))))))</x:f>
      </x:c>
    </x:row>
    <x:row r="163">
      <x:c r="H163" s="8"/>
      <x:c r="I163" t="str">
        <x:f>IF($A163="","",IF($H163="Met",1,IF($H163="Partially met",0.5,IF(OR($H163="Unmet",$H163="Unknown"),0,""))))</x:f>
      </x:c>
      <x:c r="J163" s="8"/>
      <x:c r="K163" t="str">
        <x:f>IF($A163="","",IF($J163="E4",4,IF($J163="E3",3,IF($J163="E2",2,IF($J163="E1",1,0)))))</x:f>
      </x:c>
      <x:c r="L163" s="8"/>
      <x:c r="M163" s="8"/>
      <x:c r="N163" s="8"/>
      <x:c r="O163" s="8"/>
      <x:c r="P163" s="8"/>
      <x:c r="Q163" t="str">
        <x:f>IF($A163="","",IF($D163="Baseline",1,IF($D163="Elevated",IF(OR('Profile'!$B$11="Elevated",'Profile'!$B$11="Critical"),1,0),IF($D163="Critical",IF('Profile'!$B$11="Critical",1,0),1))))</x:f>
      </x:c>
      <x:c r="R163" t="str">
        <x:f>IF($A163="","",IF($Q163=0,0,IF($H163="N/A",0,IF($H163="Met",IF(AND($K163&gt;=VALUE(RIGHT($G163,1)),$L163="Yes"),1,0),IF($H163="Partially met",IF(AND($K163&gt;=1,$L163="Yes"),0.5,0),0)))))</x:f>
      </x:c>
      <x:c r="S163" t="str">
        <x:f>IF($A163="","",IF($Q163=0,0,IF($H163="N/A",IF(AND($P163&lt;&gt;"",$O163&lt;&gt;"",IFERROR(VLOOKUP($O163,'Exceptions'!$A$5:$M$204,2,FALSE),"")="N/A determination",IFERROR(VLOOKUP($O163,'Exceptions'!$A$5:$M$204,13,FALSE),"")="Active",IFERROR(ISNUMBER(SEARCH($A163,IFERROR(VLOOKUP($O163,'Exceptions'!$A$5:$M$204,3,FALSE),""))),FALSE)),0,1),1)))</x:f>
      </x:c>
      <x:c r="T163" t="str">
        <x:f>IF($A163="","",IF($C163="","",IF($H163="N/A",IF(AND($P163&lt;&gt;"",$O163&lt;&gt;"",IFERROR(VLOOKUP($O163,'Exceptions'!$A$5:$M$204,2,FALSE),"")="N/A determination",IFERROR(VLOOKUP($O163,'Exceptions'!$A$5:$M$204,13,FALSE),"")="Active",IFERROR(ISNUMBER(SEARCH($A163,IFERROR(VLOOKUP($O163,'Exceptions'!$A$5:$M$204,3,FALSE),""))),FALSE)),"N/A","FAIL"),IF(OR($H163="Unknown",$H163="",$K163=0,$L163&lt;&gt;"Yes"),"UNKNOWN",IF($H163="Met",IF($K163&gt;=VALUE(RIGHT($G163,1)),"PASS","UNKNOWN"),IF(OR($H163="Partially met",$H163="Unmet"),"FAIL","UNKNOWN"))))))</x:f>
      </x:c>
      <x:c r="U163" t="str">
        <x:f>IF($A163="","",IF($S163=0,0,IF(AND($K163&gt;=1,$L163="Yes"),1,0)))</x:f>
      </x:c>
      <x:c r="V163" t="str">
        <x:f>IF($A163="","",IF(OR($S163=0,$H163="N/A",$L163&lt;&gt;"Yes"),0,$K163))</x:f>
      </x:c>
      <x:c r="AB163" t="str">
        <x:f>IF($A163="","",IF(AND($Q163=1,$H163="N/A",NOT(AND($P163&lt;&gt;"",$O163&lt;&gt;"",IFERROR(VLOOKUP($O163,'Exceptions'!$A$5:$M$204,2,FALSE),"")="N/A determination",IFERROR(VLOOKUP($O163,'Exceptions'!$A$5:$M$204,13,FALSE),"")="Active",IFERROR(ISNUMBER(SEARCH($A163,IFERROR(VLOOKUP($O163,'Exceptions'!$A$5:$M$204,3,FALSE),""))),FALSE)))),"MISSING OR INVALID N/A DECISION",IF(AND($Q163=1,OR($H163="Partially met",$H163="Unmet"),OR($K163&lt;1,$L163&lt;&gt;"Yes")),"KNOWN RATING NEEDS FRESH E1",IF(AND($Q163=1,$H163="Met",OR($K163&lt;VALUE(RIGHT($G163,1)),$L163&lt;&gt;"Yes")),"EVIDENCE BELOW MINIMUM",IF(AND($Q163=1,OR($H163="",$H163="Unknown")),"UNASSESSED",IF(AND($H163="N/A",AND($P163&lt;&gt;"",$O163&lt;&gt;"",IFERROR(VLOOKUP($O163,'Exceptions'!$A$5:$M$204,2,FALSE),"")="N/A determination",IFERROR(VLOOKUP($O163,'Exceptions'!$A$5:$M$204,13,FALSE),"")="Active",IFERROR(ISNUMBER(SEARCH($A163,IFERROR(VLOOKUP($O163,'Exceptions'!$A$5:$M$204,3,FALSE),""))),FALSE))),"N/A APPROVED",IF($O163&lt;&gt;"","EXCEPTION REVIEW","OK")))))))</x:f>
      </x:c>
    </x:row>
    <x:row r="164">
      <x:c r="H164" s="8"/>
      <x:c r="I164" t="str">
        <x:f>IF($A164="","",IF($H164="Met",1,IF($H164="Partially met",0.5,IF(OR($H164="Unmet",$H164="Unknown"),0,""))))</x:f>
      </x:c>
      <x:c r="J164" s="8"/>
      <x:c r="K164" t="str">
        <x:f>IF($A164="","",IF($J164="E4",4,IF($J164="E3",3,IF($J164="E2",2,IF($J164="E1",1,0)))))</x:f>
      </x:c>
      <x:c r="L164" s="8"/>
      <x:c r="M164" s="8"/>
      <x:c r="N164" s="8"/>
      <x:c r="O164" s="8"/>
      <x:c r="P164" s="8"/>
      <x:c r="Q164" t="str">
        <x:f>IF($A164="","",IF($D164="Baseline",1,IF($D164="Elevated",IF(OR('Profile'!$B$11="Elevated",'Profile'!$B$11="Critical"),1,0),IF($D164="Critical",IF('Profile'!$B$11="Critical",1,0),1))))</x:f>
      </x:c>
      <x:c r="R164" t="str">
        <x:f>IF($A164="","",IF($Q164=0,0,IF($H164="N/A",0,IF($H164="Met",IF(AND($K164&gt;=VALUE(RIGHT($G164,1)),$L164="Yes"),1,0),IF($H164="Partially met",IF(AND($K164&gt;=1,$L164="Yes"),0.5,0),0)))))</x:f>
      </x:c>
      <x:c r="S164" t="str">
        <x:f>IF($A164="","",IF($Q164=0,0,IF($H164="N/A",IF(AND($P164&lt;&gt;"",$O164&lt;&gt;"",IFERROR(VLOOKUP($O164,'Exceptions'!$A$5:$M$204,2,FALSE),"")="N/A determination",IFERROR(VLOOKUP($O164,'Exceptions'!$A$5:$M$204,13,FALSE),"")="Active",IFERROR(ISNUMBER(SEARCH($A164,IFERROR(VLOOKUP($O164,'Exceptions'!$A$5:$M$204,3,FALSE),""))),FALSE)),0,1),1)))</x:f>
      </x:c>
      <x:c r="T164" t="str">
        <x:f>IF($A164="","",IF($C164="","",IF($H164="N/A",IF(AND($P164&lt;&gt;"",$O164&lt;&gt;"",IFERROR(VLOOKUP($O164,'Exceptions'!$A$5:$M$204,2,FALSE),"")="N/A determination",IFERROR(VLOOKUP($O164,'Exceptions'!$A$5:$M$204,13,FALSE),"")="Active",IFERROR(ISNUMBER(SEARCH($A164,IFERROR(VLOOKUP($O164,'Exceptions'!$A$5:$M$204,3,FALSE),""))),FALSE)),"N/A","FAIL"),IF(OR($H164="Unknown",$H164="",$K164=0,$L164&lt;&gt;"Yes"),"UNKNOWN",IF($H164="Met",IF($K164&gt;=VALUE(RIGHT($G164,1)),"PASS","UNKNOWN"),IF(OR($H164="Partially met",$H164="Unmet"),"FAIL","UNKNOWN"))))))</x:f>
      </x:c>
      <x:c r="U164" t="str">
        <x:f>IF($A164="","",IF($S164=0,0,IF(AND($K164&gt;=1,$L164="Yes"),1,0)))</x:f>
      </x:c>
      <x:c r="V164" t="str">
        <x:f>IF($A164="","",IF(OR($S164=0,$H164="N/A",$L164&lt;&gt;"Yes"),0,$K164))</x:f>
      </x:c>
      <x:c r="AB164" t="str">
        <x:f>IF($A164="","",IF(AND($Q164=1,$H164="N/A",NOT(AND($P164&lt;&gt;"",$O164&lt;&gt;"",IFERROR(VLOOKUP($O164,'Exceptions'!$A$5:$M$204,2,FALSE),"")="N/A determination",IFERROR(VLOOKUP($O164,'Exceptions'!$A$5:$M$204,13,FALSE),"")="Active",IFERROR(ISNUMBER(SEARCH($A164,IFERROR(VLOOKUP($O164,'Exceptions'!$A$5:$M$204,3,FALSE),""))),FALSE)))),"MISSING OR INVALID N/A DECISION",IF(AND($Q164=1,OR($H164="Partially met",$H164="Unmet"),OR($K164&lt;1,$L164&lt;&gt;"Yes")),"KNOWN RATING NEEDS FRESH E1",IF(AND($Q164=1,$H164="Met",OR($K164&lt;VALUE(RIGHT($G164,1)),$L164&lt;&gt;"Yes")),"EVIDENCE BELOW MINIMUM",IF(AND($Q164=1,OR($H164="",$H164="Unknown")),"UNASSESSED",IF(AND($H164="N/A",AND($P164&lt;&gt;"",$O164&lt;&gt;"",IFERROR(VLOOKUP($O164,'Exceptions'!$A$5:$M$204,2,FALSE),"")="N/A determination",IFERROR(VLOOKUP($O164,'Exceptions'!$A$5:$M$204,13,FALSE),"")="Active",IFERROR(ISNUMBER(SEARCH($A164,IFERROR(VLOOKUP($O164,'Exceptions'!$A$5:$M$204,3,FALSE),""))),FALSE))),"N/A APPROVED",IF($O164&lt;&gt;"","EXCEPTION REVIEW","OK")))))))</x:f>
      </x:c>
    </x:row>
    <x:row r="165">
      <x:c r="H165" s="8"/>
      <x:c r="I165" t="str">
        <x:f>IF($A165="","",IF($H165="Met",1,IF($H165="Partially met",0.5,IF(OR($H165="Unmet",$H165="Unknown"),0,""))))</x:f>
      </x:c>
      <x:c r="J165" s="8"/>
      <x:c r="K165" t="str">
        <x:f>IF($A165="","",IF($J165="E4",4,IF($J165="E3",3,IF($J165="E2",2,IF($J165="E1",1,0)))))</x:f>
      </x:c>
      <x:c r="L165" s="8"/>
      <x:c r="M165" s="8"/>
      <x:c r="N165" s="8"/>
      <x:c r="O165" s="8"/>
      <x:c r="P165" s="8"/>
      <x:c r="Q165" t="str">
        <x:f>IF($A165="","",IF($D165="Baseline",1,IF($D165="Elevated",IF(OR('Profile'!$B$11="Elevated",'Profile'!$B$11="Critical"),1,0),IF($D165="Critical",IF('Profile'!$B$11="Critical",1,0),1))))</x:f>
      </x:c>
      <x:c r="R165" t="str">
        <x:f>IF($A165="","",IF($Q165=0,0,IF($H165="N/A",0,IF($H165="Met",IF(AND($K165&gt;=VALUE(RIGHT($G165,1)),$L165="Yes"),1,0),IF($H165="Partially met",IF(AND($K165&gt;=1,$L165="Yes"),0.5,0),0)))))</x:f>
      </x:c>
      <x:c r="S165" t="str">
        <x:f>IF($A165="","",IF($Q165=0,0,IF($H165="N/A",IF(AND($P165&lt;&gt;"",$O165&lt;&gt;"",IFERROR(VLOOKUP($O165,'Exceptions'!$A$5:$M$204,2,FALSE),"")="N/A determination",IFERROR(VLOOKUP($O165,'Exceptions'!$A$5:$M$204,13,FALSE),"")="Active",IFERROR(ISNUMBER(SEARCH($A165,IFERROR(VLOOKUP($O165,'Exceptions'!$A$5:$M$204,3,FALSE),""))),FALSE)),0,1),1)))</x:f>
      </x:c>
      <x:c r="T165" t="str">
        <x:f>IF($A165="","",IF($C165="","",IF($H165="N/A",IF(AND($P165&lt;&gt;"",$O165&lt;&gt;"",IFERROR(VLOOKUP($O165,'Exceptions'!$A$5:$M$204,2,FALSE),"")="N/A determination",IFERROR(VLOOKUP($O165,'Exceptions'!$A$5:$M$204,13,FALSE),"")="Active",IFERROR(ISNUMBER(SEARCH($A165,IFERROR(VLOOKUP($O165,'Exceptions'!$A$5:$M$204,3,FALSE),""))),FALSE)),"N/A","FAIL"),IF(OR($H165="Unknown",$H165="",$K165=0,$L165&lt;&gt;"Yes"),"UNKNOWN",IF($H165="Met",IF($K165&gt;=VALUE(RIGHT($G165,1)),"PASS","UNKNOWN"),IF(OR($H165="Partially met",$H165="Unmet"),"FAIL","UNKNOWN"))))))</x:f>
      </x:c>
      <x:c r="U165" t="str">
        <x:f>IF($A165="","",IF($S165=0,0,IF(AND($K165&gt;=1,$L165="Yes"),1,0)))</x:f>
      </x:c>
      <x:c r="V165" t="str">
        <x:f>IF($A165="","",IF(OR($S165=0,$H165="N/A",$L165&lt;&gt;"Yes"),0,$K165))</x:f>
      </x:c>
      <x:c r="AB165" t="str">
        <x:f>IF($A165="","",IF(AND($Q165=1,$H165="N/A",NOT(AND($P165&lt;&gt;"",$O165&lt;&gt;"",IFERROR(VLOOKUP($O165,'Exceptions'!$A$5:$M$204,2,FALSE),"")="N/A determination",IFERROR(VLOOKUP($O165,'Exceptions'!$A$5:$M$204,13,FALSE),"")="Active",IFERROR(ISNUMBER(SEARCH($A165,IFERROR(VLOOKUP($O165,'Exceptions'!$A$5:$M$204,3,FALSE),""))),FALSE)))),"MISSING OR INVALID N/A DECISION",IF(AND($Q165=1,OR($H165="Partially met",$H165="Unmet"),OR($K165&lt;1,$L165&lt;&gt;"Yes")),"KNOWN RATING NEEDS FRESH E1",IF(AND($Q165=1,$H165="Met",OR($K165&lt;VALUE(RIGHT($G165,1)),$L165&lt;&gt;"Yes")),"EVIDENCE BELOW MINIMUM",IF(AND($Q165=1,OR($H165="",$H165="Unknown")),"UNASSESSED",IF(AND($H165="N/A",AND($P165&lt;&gt;"",$O165&lt;&gt;"",IFERROR(VLOOKUP($O165,'Exceptions'!$A$5:$M$204,2,FALSE),"")="N/A determination",IFERROR(VLOOKUP($O165,'Exceptions'!$A$5:$M$204,13,FALSE),"")="Active",IFERROR(ISNUMBER(SEARCH($A165,IFERROR(VLOOKUP($O165,'Exceptions'!$A$5:$M$204,3,FALSE),""))),FALSE))),"N/A APPROVED",IF($O165&lt;&gt;"","EXCEPTION REVIEW","OK")))))))</x:f>
      </x:c>
    </x:row>
    <x:row r="166">
      <x:c r="H166" s="8"/>
      <x:c r="I166" t="str">
        <x:f>IF($A166="","",IF($H166="Met",1,IF($H166="Partially met",0.5,IF(OR($H166="Unmet",$H166="Unknown"),0,""))))</x:f>
      </x:c>
      <x:c r="J166" s="8"/>
      <x:c r="K166" t="str">
        <x:f>IF($A166="","",IF($J166="E4",4,IF($J166="E3",3,IF($J166="E2",2,IF($J166="E1",1,0)))))</x:f>
      </x:c>
      <x:c r="L166" s="8"/>
      <x:c r="M166" s="8"/>
      <x:c r="N166" s="8"/>
      <x:c r="O166" s="8"/>
      <x:c r="P166" s="8"/>
      <x:c r="Q166" t="str">
        <x:f>IF($A166="","",IF($D166="Baseline",1,IF($D166="Elevated",IF(OR('Profile'!$B$11="Elevated",'Profile'!$B$11="Critical"),1,0),IF($D166="Critical",IF('Profile'!$B$11="Critical",1,0),1))))</x:f>
      </x:c>
      <x:c r="R166" t="str">
        <x:f>IF($A166="","",IF($Q166=0,0,IF($H166="N/A",0,IF($H166="Met",IF(AND($K166&gt;=VALUE(RIGHT($G166,1)),$L166="Yes"),1,0),IF($H166="Partially met",IF(AND($K166&gt;=1,$L166="Yes"),0.5,0),0)))))</x:f>
      </x:c>
      <x:c r="S166" t="str">
        <x:f>IF($A166="","",IF($Q166=0,0,IF($H166="N/A",IF(AND($P166&lt;&gt;"",$O166&lt;&gt;"",IFERROR(VLOOKUP($O166,'Exceptions'!$A$5:$M$204,2,FALSE),"")="N/A determination",IFERROR(VLOOKUP($O166,'Exceptions'!$A$5:$M$204,13,FALSE),"")="Active",IFERROR(ISNUMBER(SEARCH($A166,IFERROR(VLOOKUP($O166,'Exceptions'!$A$5:$M$204,3,FALSE),""))),FALSE)),0,1),1)))</x:f>
      </x:c>
      <x:c r="T166" t="str">
        <x:f>IF($A166="","",IF($C166="","",IF($H166="N/A",IF(AND($P166&lt;&gt;"",$O166&lt;&gt;"",IFERROR(VLOOKUP($O166,'Exceptions'!$A$5:$M$204,2,FALSE),"")="N/A determination",IFERROR(VLOOKUP($O166,'Exceptions'!$A$5:$M$204,13,FALSE),"")="Active",IFERROR(ISNUMBER(SEARCH($A166,IFERROR(VLOOKUP($O166,'Exceptions'!$A$5:$M$204,3,FALSE),""))),FALSE)),"N/A","FAIL"),IF(OR($H166="Unknown",$H166="",$K166=0,$L166&lt;&gt;"Yes"),"UNKNOWN",IF($H166="Met",IF($K166&gt;=VALUE(RIGHT($G166,1)),"PASS","UNKNOWN"),IF(OR($H166="Partially met",$H166="Unmet"),"FAIL","UNKNOWN"))))))</x:f>
      </x:c>
      <x:c r="U166" t="str">
        <x:f>IF($A166="","",IF($S166=0,0,IF(AND($K166&gt;=1,$L166="Yes"),1,0)))</x:f>
      </x:c>
      <x:c r="V166" t="str">
        <x:f>IF($A166="","",IF(OR($S166=0,$H166="N/A",$L166&lt;&gt;"Yes"),0,$K166))</x:f>
      </x:c>
      <x:c r="AB166" t="str">
        <x:f>IF($A166="","",IF(AND($Q166=1,$H166="N/A",NOT(AND($P166&lt;&gt;"",$O166&lt;&gt;"",IFERROR(VLOOKUP($O166,'Exceptions'!$A$5:$M$204,2,FALSE),"")="N/A determination",IFERROR(VLOOKUP($O166,'Exceptions'!$A$5:$M$204,13,FALSE),"")="Active",IFERROR(ISNUMBER(SEARCH($A166,IFERROR(VLOOKUP($O166,'Exceptions'!$A$5:$M$204,3,FALSE),""))),FALSE)))),"MISSING OR INVALID N/A DECISION",IF(AND($Q166=1,OR($H166="Partially met",$H166="Unmet"),OR($K166&lt;1,$L166&lt;&gt;"Yes")),"KNOWN RATING NEEDS FRESH E1",IF(AND($Q166=1,$H166="Met",OR($K166&lt;VALUE(RIGHT($G166,1)),$L166&lt;&gt;"Yes")),"EVIDENCE BELOW MINIMUM",IF(AND($Q166=1,OR($H166="",$H166="Unknown")),"UNASSESSED",IF(AND($H166="N/A",AND($P166&lt;&gt;"",$O166&lt;&gt;"",IFERROR(VLOOKUP($O166,'Exceptions'!$A$5:$M$204,2,FALSE),"")="N/A determination",IFERROR(VLOOKUP($O166,'Exceptions'!$A$5:$M$204,13,FALSE),"")="Active",IFERROR(ISNUMBER(SEARCH($A166,IFERROR(VLOOKUP($O166,'Exceptions'!$A$5:$M$204,3,FALSE),""))),FALSE))),"N/A APPROVED",IF($O166&lt;&gt;"","EXCEPTION REVIEW","OK")))))))</x:f>
      </x:c>
    </x:row>
    <x:row r="167">
      <x:c r="H167" s="8"/>
      <x:c r="I167" t="str">
        <x:f>IF($A167="","",IF($H167="Met",1,IF($H167="Partially met",0.5,IF(OR($H167="Unmet",$H167="Unknown"),0,""))))</x:f>
      </x:c>
      <x:c r="J167" s="8"/>
      <x:c r="K167" t="str">
        <x:f>IF($A167="","",IF($J167="E4",4,IF($J167="E3",3,IF($J167="E2",2,IF($J167="E1",1,0)))))</x:f>
      </x:c>
      <x:c r="L167" s="8"/>
      <x:c r="M167" s="8"/>
      <x:c r="N167" s="8"/>
      <x:c r="O167" s="8"/>
      <x:c r="P167" s="8"/>
      <x:c r="Q167" t="str">
        <x:f>IF($A167="","",IF($D167="Baseline",1,IF($D167="Elevated",IF(OR('Profile'!$B$11="Elevated",'Profile'!$B$11="Critical"),1,0),IF($D167="Critical",IF('Profile'!$B$11="Critical",1,0),1))))</x:f>
      </x:c>
      <x:c r="R167" t="str">
        <x:f>IF($A167="","",IF($Q167=0,0,IF($H167="N/A",0,IF($H167="Met",IF(AND($K167&gt;=VALUE(RIGHT($G167,1)),$L167="Yes"),1,0),IF($H167="Partially met",IF(AND($K167&gt;=1,$L167="Yes"),0.5,0),0)))))</x:f>
      </x:c>
      <x:c r="S167" t="str">
        <x:f>IF($A167="","",IF($Q167=0,0,IF($H167="N/A",IF(AND($P167&lt;&gt;"",$O167&lt;&gt;"",IFERROR(VLOOKUP($O167,'Exceptions'!$A$5:$M$204,2,FALSE),"")="N/A determination",IFERROR(VLOOKUP($O167,'Exceptions'!$A$5:$M$204,13,FALSE),"")="Active",IFERROR(ISNUMBER(SEARCH($A167,IFERROR(VLOOKUP($O167,'Exceptions'!$A$5:$M$204,3,FALSE),""))),FALSE)),0,1),1)))</x:f>
      </x:c>
      <x:c r="T167" t="str">
        <x:f>IF($A167="","",IF($C167="","",IF($H167="N/A",IF(AND($P167&lt;&gt;"",$O167&lt;&gt;"",IFERROR(VLOOKUP($O167,'Exceptions'!$A$5:$M$204,2,FALSE),"")="N/A determination",IFERROR(VLOOKUP($O167,'Exceptions'!$A$5:$M$204,13,FALSE),"")="Active",IFERROR(ISNUMBER(SEARCH($A167,IFERROR(VLOOKUP($O167,'Exceptions'!$A$5:$M$204,3,FALSE),""))),FALSE)),"N/A","FAIL"),IF(OR($H167="Unknown",$H167="",$K167=0,$L167&lt;&gt;"Yes"),"UNKNOWN",IF($H167="Met",IF($K167&gt;=VALUE(RIGHT($G167,1)),"PASS","UNKNOWN"),IF(OR($H167="Partially met",$H167="Unmet"),"FAIL","UNKNOWN"))))))</x:f>
      </x:c>
      <x:c r="U167" t="str">
        <x:f>IF($A167="","",IF($S167=0,0,IF(AND($K167&gt;=1,$L167="Yes"),1,0)))</x:f>
      </x:c>
      <x:c r="V167" t="str">
        <x:f>IF($A167="","",IF(OR($S167=0,$H167="N/A",$L167&lt;&gt;"Yes"),0,$K167))</x:f>
      </x:c>
      <x:c r="AB167" t="str">
        <x:f>IF($A167="","",IF(AND($Q167=1,$H167="N/A",NOT(AND($P167&lt;&gt;"",$O167&lt;&gt;"",IFERROR(VLOOKUP($O167,'Exceptions'!$A$5:$M$204,2,FALSE),"")="N/A determination",IFERROR(VLOOKUP($O167,'Exceptions'!$A$5:$M$204,13,FALSE),"")="Active",IFERROR(ISNUMBER(SEARCH($A167,IFERROR(VLOOKUP($O167,'Exceptions'!$A$5:$M$204,3,FALSE),""))),FALSE)))),"MISSING OR INVALID N/A DECISION",IF(AND($Q167=1,OR($H167="Partially met",$H167="Unmet"),OR($K167&lt;1,$L167&lt;&gt;"Yes")),"KNOWN RATING NEEDS FRESH E1",IF(AND($Q167=1,$H167="Met",OR($K167&lt;VALUE(RIGHT($G167,1)),$L167&lt;&gt;"Yes")),"EVIDENCE BELOW MINIMUM",IF(AND($Q167=1,OR($H167="",$H167="Unknown")),"UNASSESSED",IF(AND($H167="N/A",AND($P167&lt;&gt;"",$O167&lt;&gt;"",IFERROR(VLOOKUP($O167,'Exceptions'!$A$5:$M$204,2,FALSE),"")="N/A determination",IFERROR(VLOOKUP($O167,'Exceptions'!$A$5:$M$204,13,FALSE),"")="Active",IFERROR(ISNUMBER(SEARCH($A167,IFERROR(VLOOKUP($O167,'Exceptions'!$A$5:$M$204,3,FALSE),""))),FALSE))),"N/A APPROVED",IF($O167&lt;&gt;"","EXCEPTION REVIEW","OK")))))))</x:f>
      </x:c>
    </x:row>
    <x:row r="168">
      <x:c r="H168" s="8"/>
      <x:c r="I168" t="str">
        <x:f>IF($A168="","",IF($H168="Met",1,IF($H168="Partially met",0.5,IF(OR($H168="Unmet",$H168="Unknown"),0,""))))</x:f>
      </x:c>
      <x:c r="J168" s="8"/>
      <x:c r="K168" t="str">
        <x:f>IF($A168="","",IF($J168="E4",4,IF($J168="E3",3,IF($J168="E2",2,IF($J168="E1",1,0)))))</x:f>
      </x:c>
      <x:c r="L168" s="8"/>
      <x:c r="M168" s="8"/>
      <x:c r="N168" s="8"/>
      <x:c r="O168" s="8"/>
      <x:c r="P168" s="8"/>
      <x:c r="Q168" t="str">
        <x:f>IF($A168="","",IF($D168="Baseline",1,IF($D168="Elevated",IF(OR('Profile'!$B$11="Elevated",'Profile'!$B$11="Critical"),1,0),IF($D168="Critical",IF('Profile'!$B$11="Critical",1,0),1))))</x:f>
      </x:c>
      <x:c r="R168" t="str">
        <x:f>IF($A168="","",IF($Q168=0,0,IF($H168="N/A",0,IF($H168="Met",IF(AND($K168&gt;=VALUE(RIGHT($G168,1)),$L168="Yes"),1,0),IF($H168="Partially met",IF(AND($K168&gt;=1,$L168="Yes"),0.5,0),0)))))</x:f>
      </x:c>
      <x:c r="S168" t="str">
        <x:f>IF($A168="","",IF($Q168=0,0,IF($H168="N/A",IF(AND($P168&lt;&gt;"",$O168&lt;&gt;"",IFERROR(VLOOKUP($O168,'Exceptions'!$A$5:$M$204,2,FALSE),"")="N/A determination",IFERROR(VLOOKUP($O168,'Exceptions'!$A$5:$M$204,13,FALSE),"")="Active",IFERROR(ISNUMBER(SEARCH($A168,IFERROR(VLOOKUP($O168,'Exceptions'!$A$5:$M$204,3,FALSE),""))),FALSE)),0,1),1)))</x:f>
      </x:c>
      <x:c r="T168" t="str">
        <x:f>IF($A168="","",IF($C168="","",IF($H168="N/A",IF(AND($P168&lt;&gt;"",$O168&lt;&gt;"",IFERROR(VLOOKUP($O168,'Exceptions'!$A$5:$M$204,2,FALSE),"")="N/A determination",IFERROR(VLOOKUP($O168,'Exceptions'!$A$5:$M$204,13,FALSE),"")="Active",IFERROR(ISNUMBER(SEARCH($A168,IFERROR(VLOOKUP($O168,'Exceptions'!$A$5:$M$204,3,FALSE),""))),FALSE)),"N/A","FAIL"),IF(OR($H168="Unknown",$H168="",$K168=0,$L168&lt;&gt;"Yes"),"UNKNOWN",IF($H168="Met",IF($K168&gt;=VALUE(RIGHT($G168,1)),"PASS","UNKNOWN"),IF(OR($H168="Partially met",$H168="Unmet"),"FAIL","UNKNOWN"))))))</x:f>
      </x:c>
      <x:c r="U168" t="str">
        <x:f>IF($A168="","",IF($S168=0,0,IF(AND($K168&gt;=1,$L168="Yes"),1,0)))</x:f>
      </x:c>
      <x:c r="V168" t="str">
        <x:f>IF($A168="","",IF(OR($S168=0,$H168="N/A",$L168&lt;&gt;"Yes"),0,$K168))</x:f>
      </x:c>
      <x:c r="AB168" t="str">
        <x:f>IF($A168="","",IF(AND($Q168=1,$H168="N/A",NOT(AND($P168&lt;&gt;"",$O168&lt;&gt;"",IFERROR(VLOOKUP($O168,'Exceptions'!$A$5:$M$204,2,FALSE),"")="N/A determination",IFERROR(VLOOKUP($O168,'Exceptions'!$A$5:$M$204,13,FALSE),"")="Active",IFERROR(ISNUMBER(SEARCH($A168,IFERROR(VLOOKUP($O168,'Exceptions'!$A$5:$M$204,3,FALSE),""))),FALSE)))),"MISSING OR INVALID N/A DECISION",IF(AND($Q168=1,OR($H168="Partially met",$H168="Unmet"),OR($K168&lt;1,$L168&lt;&gt;"Yes")),"KNOWN RATING NEEDS FRESH E1",IF(AND($Q168=1,$H168="Met",OR($K168&lt;VALUE(RIGHT($G168,1)),$L168&lt;&gt;"Yes")),"EVIDENCE BELOW MINIMUM",IF(AND($Q168=1,OR($H168="",$H168="Unknown")),"UNASSESSED",IF(AND($H168="N/A",AND($P168&lt;&gt;"",$O168&lt;&gt;"",IFERROR(VLOOKUP($O168,'Exceptions'!$A$5:$M$204,2,FALSE),"")="N/A determination",IFERROR(VLOOKUP($O168,'Exceptions'!$A$5:$M$204,13,FALSE),"")="Active",IFERROR(ISNUMBER(SEARCH($A168,IFERROR(VLOOKUP($O168,'Exceptions'!$A$5:$M$204,3,FALSE),""))),FALSE))),"N/A APPROVED",IF($O168&lt;&gt;"","EXCEPTION REVIEW","OK")))))))</x:f>
      </x:c>
    </x:row>
    <x:row r="169">
      <x:c r="H169" s="8"/>
      <x:c r="I169" t="str">
        <x:f>IF($A169="","",IF($H169="Met",1,IF($H169="Partially met",0.5,IF(OR($H169="Unmet",$H169="Unknown"),0,""))))</x:f>
      </x:c>
      <x:c r="J169" s="8"/>
      <x:c r="K169" t="str">
        <x:f>IF($A169="","",IF($J169="E4",4,IF($J169="E3",3,IF($J169="E2",2,IF($J169="E1",1,0)))))</x:f>
      </x:c>
      <x:c r="L169" s="8"/>
      <x:c r="M169" s="8"/>
      <x:c r="N169" s="8"/>
      <x:c r="O169" s="8"/>
      <x:c r="P169" s="8"/>
      <x:c r="Q169" t="str">
        <x:f>IF($A169="","",IF($D169="Baseline",1,IF($D169="Elevated",IF(OR('Profile'!$B$11="Elevated",'Profile'!$B$11="Critical"),1,0),IF($D169="Critical",IF('Profile'!$B$11="Critical",1,0),1))))</x:f>
      </x:c>
      <x:c r="R169" t="str">
        <x:f>IF($A169="","",IF($Q169=0,0,IF($H169="N/A",0,IF($H169="Met",IF(AND($K169&gt;=VALUE(RIGHT($G169,1)),$L169="Yes"),1,0),IF($H169="Partially met",IF(AND($K169&gt;=1,$L169="Yes"),0.5,0),0)))))</x:f>
      </x:c>
      <x:c r="S169" t="str">
        <x:f>IF($A169="","",IF($Q169=0,0,IF($H169="N/A",IF(AND($P169&lt;&gt;"",$O169&lt;&gt;"",IFERROR(VLOOKUP($O169,'Exceptions'!$A$5:$M$204,2,FALSE),"")="N/A determination",IFERROR(VLOOKUP($O169,'Exceptions'!$A$5:$M$204,13,FALSE),"")="Active",IFERROR(ISNUMBER(SEARCH($A169,IFERROR(VLOOKUP($O169,'Exceptions'!$A$5:$M$204,3,FALSE),""))),FALSE)),0,1),1)))</x:f>
      </x:c>
      <x:c r="T169" t="str">
        <x:f>IF($A169="","",IF($C169="","",IF($H169="N/A",IF(AND($P169&lt;&gt;"",$O169&lt;&gt;"",IFERROR(VLOOKUP($O169,'Exceptions'!$A$5:$M$204,2,FALSE),"")="N/A determination",IFERROR(VLOOKUP($O169,'Exceptions'!$A$5:$M$204,13,FALSE),"")="Active",IFERROR(ISNUMBER(SEARCH($A169,IFERROR(VLOOKUP($O169,'Exceptions'!$A$5:$M$204,3,FALSE),""))),FALSE)),"N/A","FAIL"),IF(OR($H169="Unknown",$H169="",$K169=0,$L169&lt;&gt;"Yes"),"UNKNOWN",IF($H169="Met",IF($K169&gt;=VALUE(RIGHT($G169,1)),"PASS","UNKNOWN"),IF(OR($H169="Partially met",$H169="Unmet"),"FAIL","UNKNOWN"))))))</x:f>
      </x:c>
      <x:c r="U169" t="str">
        <x:f>IF($A169="","",IF($S169=0,0,IF(AND($K169&gt;=1,$L169="Yes"),1,0)))</x:f>
      </x:c>
      <x:c r="V169" t="str">
        <x:f>IF($A169="","",IF(OR($S169=0,$H169="N/A",$L169&lt;&gt;"Yes"),0,$K169))</x:f>
      </x:c>
      <x:c r="AB169" t="str">
        <x:f>IF($A169="","",IF(AND($Q169=1,$H169="N/A",NOT(AND($P169&lt;&gt;"",$O169&lt;&gt;"",IFERROR(VLOOKUP($O169,'Exceptions'!$A$5:$M$204,2,FALSE),"")="N/A determination",IFERROR(VLOOKUP($O169,'Exceptions'!$A$5:$M$204,13,FALSE),"")="Active",IFERROR(ISNUMBER(SEARCH($A169,IFERROR(VLOOKUP($O169,'Exceptions'!$A$5:$M$204,3,FALSE),""))),FALSE)))),"MISSING OR INVALID N/A DECISION",IF(AND($Q169=1,OR($H169="Partially met",$H169="Unmet"),OR($K169&lt;1,$L169&lt;&gt;"Yes")),"KNOWN RATING NEEDS FRESH E1",IF(AND($Q169=1,$H169="Met",OR($K169&lt;VALUE(RIGHT($G169,1)),$L169&lt;&gt;"Yes")),"EVIDENCE BELOW MINIMUM",IF(AND($Q169=1,OR($H169="",$H169="Unknown")),"UNASSESSED",IF(AND($H169="N/A",AND($P169&lt;&gt;"",$O169&lt;&gt;"",IFERROR(VLOOKUP($O169,'Exceptions'!$A$5:$M$204,2,FALSE),"")="N/A determination",IFERROR(VLOOKUP($O169,'Exceptions'!$A$5:$M$204,13,FALSE),"")="Active",IFERROR(ISNUMBER(SEARCH($A169,IFERROR(VLOOKUP($O169,'Exceptions'!$A$5:$M$204,3,FALSE),""))),FALSE))),"N/A APPROVED",IF($O169&lt;&gt;"","EXCEPTION REVIEW","OK")))))))</x:f>
      </x:c>
    </x:row>
    <x:row r="170">
      <x:c r="H170" s="8"/>
      <x:c r="I170" t="str">
        <x:f>IF($A170="","",IF($H170="Met",1,IF($H170="Partially met",0.5,IF(OR($H170="Unmet",$H170="Unknown"),0,""))))</x:f>
      </x:c>
      <x:c r="J170" s="8"/>
      <x:c r="K170" t="str">
        <x:f>IF($A170="","",IF($J170="E4",4,IF($J170="E3",3,IF($J170="E2",2,IF($J170="E1",1,0)))))</x:f>
      </x:c>
      <x:c r="L170" s="8"/>
      <x:c r="M170" s="8"/>
      <x:c r="N170" s="8"/>
      <x:c r="O170" s="8"/>
      <x:c r="P170" s="8"/>
      <x:c r="Q170" t="str">
        <x:f>IF($A170="","",IF($D170="Baseline",1,IF($D170="Elevated",IF(OR('Profile'!$B$11="Elevated",'Profile'!$B$11="Critical"),1,0),IF($D170="Critical",IF('Profile'!$B$11="Critical",1,0),1))))</x:f>
      </x:c>
      <x:c r="R170" t="str">
        <x:f>IF($A170="","",IF($Q170=0,0,IF($H170="N/A",0,IF($H170="Met",IF(AND($K170&gt;=VALUE(RIGHT($G170,1)),$L170="Yes"),1,0),IF($H170="Partially met",IF(AND($K170&gt;=1,$L170="Yes"),0.5,0),0)))))</x:f>
      </x:c>
      <x:c r="S170" t="str">
        <x:f>IF($A170="","",IF($Q170=0,0,IF($H170="N/A",IF(AND($P170&lt;&gt;"",$O170&lt;&gt;"",IFERROR(VLOOKUP($O170,'Exceptions'!$A$5:$M$204,2,FALSE),"")="N/A determination",IFERROR(VLOOKUP($O170,'Exceptions'!$A$5:$M$204,13,FALSE),"")="Active",IFERROR(ISNUMBER(SEARCH($A170,IFERROR(VLOOKUP($O170,'Exceptions'!$A$5:$M$204,3,FALSE),""))),FALSE)),0,1),1)))</x:f>
      </x:c>
      <x:c r="T170" t="str">
        <x:f>IF($A170="","",IF($C170="","",IF($H170="N/A",IF(AND($P170&lt;&gt;"",$O170&lt;&gt;"",IFERROR(VLOOKUP($O170,'Exceptions'!$A$5:$M$204,2,FALSE),"")="N/A determination",IFERROR(VLOOKUP($O170,'Exceptions'!$A$5:$M$204,13,FALSE),"")="Active",IFERROR(ISNUMBER(SEARCH($A170,IFERROR(VLOOKUP($O170,'Exceptions'!$A$5:$M$204,3,FALSE),""))),FALSE)),"N/A","FAIL"),IF(OR($H170="Unknown",$H170="",$K170=0,$L170&lt;&gt;"Yes"),"UNKNOWN",IF($H170="Met",IF($K170&gt;=VALUE(RIGHT($G170,1)),"PASS","UNKNOWN"),IF(OR($H170="Partially met",$H170="Unmet"),"FAIL","UNKNOWN"))))))</x:f>
      </x:c>
      <x:c r="U170" t="str">
        <x:f>IF($A170="","",IF($S170=0,0,IF(AND($K170&gt;=1,$L170="Yes"),1,0)))</x:f>
      </x:c>
      <x:c r="V170" t="str">
        <x:f>IF($A170="","",IF(OR($S170=0,$H170="N/A",$L170&lt;&gt;"Yes"),0,$K170))</x:f>
      </x:c>
      <x:c r="AB170" t="str">
        <x:f>IF($A170="","",IF(AND($Q170=1,$H170="N/A",NOT(AND($P170&lt;&gt;"",$O170&lt;&gt;"",IFERROR(VLOOKUP($O170,'Exceptions'!$A$5:$M$204,2,FALSE),"")="N/A determination",IFERROR(VLOOKUP($O170,'Exceptions'!$A$5:$M$204,13,FALSE),"")="Active",IFERROR(ISNUMBER(SEARCH($A170,IFERROR(VLOOKUP($O170,'Exceptions'!$A$5:$M$204,3,FALSE),""))),FALSE)))),"MISSING OR INVALID N/A DECISION",IF(AND($Q170=1,OR($H170="Partially met",$H170="Unmet"),OR($K170&lt;1,$L170&lt;&gt;"Yes")),"KNOWN RATING NEEDS FRESH E1",IF(AND($Q170=1,$H170="Met",OR($K170&lt;VALUE(RIGHT($G170,1)),$L170&lt;&gt;"Yes")),"EVIDENCE BELOW MINIMUM",IF(AND($Q170=1,OR($H170="",$H170="Unknown")),"UNASSESSED",IF(AND($H170="N/A",AND($P170&lt;&gt;"",$O170&lt;&gt;"",IFERROR(VLOOKUP($O170,'Exceptions'!$A$5:$M$204,2,FALSE),"")="N/A determination",IFERROR(VLOOKUP($O170,'Exceptions'!$A$5:$M$204,13,FALSE),"")="Active",IFERROR(ISNUMBER(SEARCH($A170,IFERROR(VLOOKUP($O170,'Exceptions'!$A$5:$M$204,3,FALSE),""))),FALSE))),"N/A APPROVED",IF($O170&lt;&gt;"","EXCEPTION REVIEW","OK")))))))</x:f>
      </x:c>
    </x:row>
    <x:row r="171">
      <x:c r="H171" s="8"/>
      <x:c r="I171" t="str">
        <x:f>IF($A171="","",IF($H171="Met",1,IF($H171="Partially met",0.5,IF(OR($H171="Unmet",$H171="Unknown"),0,""))))</x:f>
      </x:c>
      <x:c r="J171" s="8"/>
      <x:c r="K171" t="str">
        <x:f>IF($A171="","",IF($J171="E4",4,IF($J171="E3",3,IF($J171="E2",2,IF($J171="E1",1,0)))))</x:f>
      </x:c>
      <x:c r="L171" s="8"/>
      <x:c r="M171" s="8"/>
      <x:c r="N171" s="8"/>
      <x:c r="O171" s="8"/>
      <x:c r="P171" s="8"/>
      <x:c r="Q171" t="str">
        <x:f>IF($A171="","",IF($D171="Baseline",1,IF($D171="Elevated",IF(OR('Profile'!$B$11="Elevated",'Profile'!$B$11="Critical"),1,0),IF($D171="Critical",IF('Profile'!$B$11="Critical",1,0),1))))</x:f>
      </x:c>
      <x:c r="R171" t="str">
        <x:f>IF($A171="","",IF($Q171=0,0,IF($H171="N/A",0,IF($H171="Met",IF(AND($K171&gt;=VALUE(RIGHT($G171,1)),$L171="Yes"),1,0),IF($H171="Partially met",IF(AND($K171&gt;=1,$L171="Yes"),0.5,0),0)))))</x:f>
      </x:c>
      <x:c r="S171" t="str">
        <x:f>IF($A171="","",IF($Q171=0,0,IF($H171="N/A",IF(AND($P171&lt;&gt;"",$O171&lt;&gt;"",IFERROR(VLOOKUP($O171,'Exceptions'!$A$5:$M$204,2,FALSE),"")="N/A determination",IFERROR(VLOOKUP($O171,'Exceptions'!$A$5:$M$204,13,FALSE),"")="Active",IFERROR(ISNUMBER(SEARCH($A171,IFERROR(VLOOKUP($O171,'Exceptions'!$A$5:$M$204,3,FALSE),""))),FALSE)),0,1),1)))</x:f>
      </x:c>
      <x:c r="T171" t="str">
        <x:f>IF($A171="","",IF($C171="","",IF($H171="N/A",IF(AND($P171&lt;&gt;"",$O171&lt;&gt;"",IFERROR(VLOOKUP($O171,'Exceptions'!$A$5:$M$204,2,FALSE),"")="N/A determination",IFERROR(VLOOKUP($O171,'Exceptions'!$A$5:$M$204,13,FALSE),"")="Active",IFERROR(ISNUMBER(SEARCH($A171,IFERROR(VLOOKUP($O171,'Exceptions'!$A$5:$M$204,3,FALSE),""))),FALSE)),"N/A","FAIL"),IF(OR($H171="Unknown",$H171="",$K171=0,$L171&lt;&gt;"Yes"),"UNKNOWN",IF($H171="Met",IF($K171&gt;=VALUE(RIGHT($G171,1)),"PASS","UNKNOWN"),IF(OR($H171="Partially met",$H171="Unmet"),"FAIL","UNKNOWN"))))))</x:f>
      </x:c>
      <x:c r="U171" t="str">
        <x:f>IF($A171="","",IF($S171=0,0,IF(AND($K171&gt;=1,$L171="Yes"),1,0)))</x:f>
      </x:c>
      <x:c r="V171" t="str">
        <x:f>IF($A171="","",IF(OR($S171=0,$H171="N/A",$L171&lt;&gt;"Yes"),0,$K171))</x:f>
      </x:c>
      <x:c r="AB171" t="str">
        <x:f>IF($A171="","",IF(AND($Q171=1,$H171="N/A",NOT(AND($P171&lt;&gt;"",$O171&lt;&gt;"",IFERROR(VLOOKUP($O171,'Exceptions'!$A$5:$M$204,2,FALSE),"")="N/A determination",IFERROR(VLOOKUP($O171,'Exceptions'!$A$5:$M$204,13,FALSE),"")="Active",IFERROR(ISNUMBER(SEARCH($A171,IFERROR(VLOOKUP($O171,'Exceptions'!$A$5:$M$204,3,FALSE),""))),FALSE)))),"MISSING OR INVALID N/A DECISION",IF(AND($Q171=1,OR($H171="Partially met",$H171="Unmet"),OR($K171&lt;1,$L171&lt;&gt;"Yes")),"KNOWN RATING NEEDS FRESH E1",IF(AND($Q171=1,$H171="Met",OR($K171&lt;VALUE(RIGHT($G171,1)),$L171&lt;&gt;"Yes")),"EVIDENCE BELOW MINIMUM",IF(AND($Q171=1,OR($H171="",$H171="Unknown")),"UNASSESSED",IF(AND($H171="N/A",AND($P171&lt;&gt;"",$O171&lt;&gt;"",IFERROR(VLOOKUP($O171,'Exceptions'!$A$5:$M$204,2,FALSE),"")="N/A determination",IFERROR(VLOOKUP($O171,'Exceptions'!$A$5:$M$204,13,FALSE),"")="Active",IFERROR(ISNUMBER(SEARCH($A171,IFERROR(VLOOKUP($O171,'Exceptions'!$A$5:$M$204,3,FALSE),""))),FALSE))),"N/A APPROVED",IF($O171&lt;&gt;"","EXCEPTION REVIEW","OK")))))))</x:f>
      </x:c>
    </x:row>
    <x:row r="172">
      <x:c r="H172" s="8"/>
      <x:c r="I172" t="str">
        <x:f>IF($A172="","",IF($H172="Met",1,IF($H172="Partially met",0.5,IF(OR($H172="Unmet",$H172="Unknown"),0,""))))</x:f>
      </x:c>
      <x:c r="J172" s="8"/>
      <x:c r="K172" t="str">
        <x:f>IF($A172="","",IF($J172="E4",4,IF($J172="E3",3,IF($J172="E2",2,IF($J172="E1",1,0)))))</x:f>
      </x:c>
      <x:c r="L172" s="8"/>
      <x:c r="M172" s="8"/>
      <x:c r="N172" s="8"/>
      <x:c r="O172" s="8"/>
      <x:c r="P172" s="8"/>
      <x:c r="Q172" t="str">
        <x:f>IF($A172="","",IF($D172="Baseline",1,IF($D172="Elevated",IF(OR('Profile'!$B$11="Elevated",'Profile'!$B$11="Critical"),1,0),IF($D172="Critical",IF('Profile'!$B$11="Critical",1,0),1))))</x:f>
      </x:c>
      <x:c r="R172" t="str">
        <x:f>IF($A172="","",IF($Q172=0,0,IF($H172="N/A",0,IF($H172="Met",IF(AND($K172&gt;=VALUE(RIGHT($G172,1)),$L172="Yes"),1,0),IF($H172="Partially met",IF(AND($K172&gt;=1,$L172="Yes"),0.5,0),0)))))</x:f>
      </x:c>
      <x:c r="S172" t="str">
        <x:f>IF($A172="","",IF($Q172=0,0,IF($H172="N/A",IF(AND($P172&lt;&gt;"",$O172&lt;&gt;"",IFERROR(VLOOKUP($O172,'Exceptions'!$A$5:$M$204,2,FALSE),"")="N/A determination",IFERROR(VLOOKUP($O172,'Exceptions'!$A$5:$M$204,13,FALSE),"")="Active",IFERROR(ISNUMBER(SEARCH($A172,IFERROR(VLOOKUP($O172,'Exceptions'!$A$5:$M$204,3,FALSE),""))),FALSE)),0,1),1)))</x:f>
      </x:c>
      <x:c r="T172" t="str">
        <x:f>IF($A172="","",IF($C172="","",IF($H172="N/A",IF(AND($P172&lt;&gt;"",$O172&lt;&gt;"",IFERROR(VLOOKUP($O172,'Exceptions'!$A$5:$M$204,2,FALSE),"")="N/A determination",IFERROR(VLOOKUP($O172,'Exceptions'!$A$5:$M$204,13,FALSE),"")="Active",IFERROR(ISNUMBER(SEARCH($A172,IFERROR(VLOOKUP($O172,'Exceptions'!$A$5:$M$204,3,FALSE),""))),FALSE)),"N/A","FAIL"),IF(OR($H172="Unknown",$H172="",$K172=0,$L172&lt;&gt;"Yes"),"UNKNOWN",IF($H172="Met",IF($K172&gt;=VALUE(RIGHT($G172,1)),"PASS","UNKNOWN"),IF(OR($H172="Partially met",$H172="Unmet"),"FAIL","UNKNOWN"))))))</x:f>
      </x:c>
      <x:c r="U172" t="str">
        <x:f>IF($A172="","",IF($S172=0,0,IF(AND($K172&gt;=1,$L172="Yes"),1,0)))</x:f>
      </x:c>
      <x:c r="V172" t="str">
        <x:f>IF($A172="","",IF(OR($S172=0,$H172="N/A",$L172&lt;&gt;"Yes"),0,$K172))</x:f>
      </x:c>
      <x:c r="AB172" t="str">
        <x:f>IF($A172="","",IF(AND($Q172=1,$H172="N/A",NOT(AND($P172&lt;&gt;"",$O172&lt;&gt;"",IFERROR(VLOOKUP($O172,'Exceptions'!$A$5:$M$204,2,FALSE),"")="N/A determination",IFERROR(VLOOKUP($O172,'Exceptions'!$A$5:$M$204,13,FALSE),"")="Active",IFERROR(ISNUMBER(SEARCH($A172,IFERROR(VLOOKUP($O172,'Exceptions'!$A$5:$M$204,3,FALSE),""))),FALSE)))),"MISSING OR INVALID N/A DECISION",IF(AND($Q172=1,OR($H172="Partially met",$H172="Unmet"),OR($K172&lt;1,$L172&lt;&gt;"Yes")),"KNOWN RATING NEEDS FRESH E1",IF(AND($Q172=1,$H172="Met",OR($K172&lt;VALUE(RIGHT($G172,1)),$L172&lt;&gt;"Yes")),"EVIDENCE BELOW MINIMUM",IF(AND($Q172=1,OR($H172="",$H172="Unknown")),"UNASSESSED",IF(AND($H172="N/A",AND($P172&lt;&gt;"",$O172&lt;&gt;"",IFERROR(VLOOKUP($O172,'Exceptions'!$A$5:$M$204,2,FALSE),"")="N/A determination",IFERROR(VLOOKUP($O172,'Exceptions'!$A$5:$M$204,13,FALSE),"")="Active",IFERROR(ISNUMBER(SEARCH($A172,IFERROR(VLOOKUP($O172,'Exceptions'!$A$5:$M$204,3,FALSE),""))),FALSE))),"N/A APPROVED",IF($O172&lt;&gt;"","EXCEPTION REVIEW","OK")))))))</x:f>
      </x:c>
    </x:row>
    <x:row r="173">
      <x:c r="H173" s="8"/>
      <x:c r="I173" t="str">
        <x:f>IF($A173="","",IF($H173="Met",1,IF($H173="Partially met",0.5,IF(OR($H173="Unmet",$H173="Unknown"),0,""))))</x:f>
      </x:c>
      <x:c r="J173" s="8"/>
      <x:c r="K173" t="str">
        <x:f>IF($A173="","",IF($J173="E4",4,IF($J173="E3",3,IF($J173="E2",2,IF($J173="E1",1,0)))))</x:f>
      </x:c>
      <x:c r="L173" s="8"/>
      <x:c r="M173" s="8"/>
      <x:c r="N173" s="8"/>
      <x:c r="O173" s="8"/>
      <x:c r="P173" s="8"/>
      <x:c r="Q173" t="str">
        <x:f>IF($A173="","",IF($D173="Baseline",1,IF($D173="Elevated",IF(OR('Profile'!$B$11="Elevated",'Profile'!$B$11="Critical"),1,0),IF($D173="Critical",IF('Profile'!$B$11="Critical",1,0),1))))</x:f>
      </x:c>
      <x:c r="R173" t="str">
        <x:f>IF($A173="","",IF($Q173=0,0,IF($H173="N/A",0,IF($H173="Met",IF(AND($K173&gt;=VALUE(RIGHT($G173,1)),$L173="Yes"),1,0),IF($H173="Partially met",IF(AND($K173&gt;=1,$L173="Yes"),0.5,0),0)))))</x:f>
      </x:c>
      <x:c r="S173" t="str">
        <x:f>IF($A173="","",IF($Q173=0,0,IF($H173="N/A",IF(AND($P173&lt;&gt;"",$O173&lt;&gt;"",IFERROR(VLOOKUP($O173,'Exceptions'!$A$5:$M$204,2,FALSE),"")="N/A determination",IFERROR(VLOOKUP($O173,'Exceptions'!$A$5:$M$204,13,FALSE),"")="Active",IFERROR(ISNUMBER(SEARCH($A173,IFERROR(VLOOKUP($O173,'Exceptions'!$A$5:$M$204,3,FALSE),""))),FALSE)),0,1),1)))</x:f>
      </x:c>
      <x:c r="T173" t="str">
        <x:f>IF($A173="","",IF($C173="","",IF($H173="N/A",IF(AND($P173&lt;&gt;"",$O173&lt;&gt;"",IFERROR(VLOOKUP($O173,'Exceptions'!$A$5:$M$204,2,FALSE),"")="N/A determination",IFERROR(VLOOKUP($O173,'Exceptions'!$A$5:$M$204,13,FALSE),"")="Active",IFERROR(ISNUMBER(SEARCH($A173,IFERROR(VLOOKUP($O173,'Exceptions'!$A$5:$M$204,3,FALSE),""))),FALSE)),"N/A","FAIL"),IF(OR($H173="Unknown",$H173="",$K173=0,$L173&lt;&gt;"Yes"),"UNKNOWN",IF($H173="Met",IF($K173&gt;=VALUE(RIGHT($G173,1)),"PASS","UNKNOWN"),IF(OR($H173="Partially met",$H173="Unmet"),"FAIL","UNKNOWN"))))))</x:f>
      </x:c>
      <x:c r="U173" t="str">
        <x:f>IF($A173="","",IF($S173=0,0,IF(AND($K173&gt;=1,$L173="Yes"),1,0)))</x:f>
      </x:c>
      <x:c r="V173" t="str">
        <x:f>IF($A173="","",IF(OR($S173=0,$H173="N/A",$L173&lt;&gt;"Yes"),0,$K173))</x:f>
      </x:c>
      <x:c r="AB173" t="str">
        <x:f>IF($A173="","",IF(AND($Q173=1,$H173="N/A",NOT(AND($P173&lt;&gt;"",$O173&lt;&gt;"",IFERROR(VLOOKUP($O173,'Exceptions'!$A$5:$M$204,2,FALSE),"")="N/A determination",IFERROR(VLOOKUP($O173,'Exceptions'!$A$5:$M$204,13,FALSE),"")="Active",IFERROR(ISNUMBER(SEARCH($A173,IFERROR(VLOOKUP($O173,'Exceptions'!$A$5:$M$204,3,FALSE),""))),FALSE)))),"MISSING OR INVALID N/A DECISION",IF(AND($Q173=1,OR($H173="Partially met",$H173="Unmet"),OR($K173&lt;1,$L173&lt;&gt;"Yes")),"KNOWN RATING NEEDS FRESH E1",IF(AND($Q173=1,$H173="Met",OR($K173&lt;VALUE(RIGHT($G173,1)),$L173&lt;&gt;"Yes")),"EVIDENCE BELOW MINIMUM",IF(AND($Q173=1,OR($H173="",$H173="Unknown")),"UNASSESSED",IF(AND($H173="N/A",AND($P173&lt;&gt;"",$O173&lt;&gt;"",IFERROR(VLOOKUP($O173,'Exceptions'!$A$5:$M$204,2,FALSE),"")="N/A determination",IFERROR(VLOOKUP($O173,'Exceptions'!$A$5:$M$204,13,FALSE),"")="Active",IFERROR(ISNUMBER(SEARCH($A173,IFERROR(VLOOKUP($O173,'Exceptions'!$A$5:$M$204,3,FALSE),""))),FALSE))),"N/A APPROVED",IF($O173&lt;&gt;"","EXCEPTION REVIEW","OK")))))))</x:f>
      </x:c>
    </x:row>
    <x:row r="174">
      <x:c r="H174" s="8"/>
      <x:c r="I174" t="str">
        <x:f>IF($A174="","",IF($H174="Met",1,IF($H174="Partially met",0.5,IF(OR($H174="Unmet",$H174="Unknown"),0,""))))</x:f>
      </x:c>
      <x:c r="J174" s="8"/>
      <x:c r="K174" t="str">
        <x:f>IF($A174="","",IF($J174="E4",4,IF($J174="E3",3,IF($J174="E2",2,IF($J174="E1",1,0)))))</x:f>
      </x:c>
      <x:c r="L174" s="8"/>
      <x:c r="M174" s="8"/>
      <x:c r="N174" s="8"/>
      <x:c r="O174" s="8"/>
      <x:c r="P174" s="8"/>
      <x:c r="Q174" t="str">
        <x:f>IF($A174="","",IF($D174="Baseline",1,IF($D174="Elevated",IF(OR('Profile'!$B$11="Elevated",'Profile'!$B$11="Critical"),1,0),IF($D174="Critical",IF('Profile'!$B$11="Critical",1,0),1))))</x:f>
      </x:c>
      <x:c r="R174" t="str">
        <x:f>IF($A174="","",IF($Q174=0,0,IF($H174="N/A",0,IF($H174="Met",IF(AND($K174&gt;=VALUE(RIGHT($G174,1)),$L174="Yes"),1,0),IF($H174="Partially met",IF(AND($K174&gt;=1,$L174="Yes"),0.5,0),0)))))</x:f>
      </x:c>
      <x:c r="S174" t="str">
        <x:f>IF($A174="","",IF($Q174=0,0,IF($H174="N/A",IF(AND($P174&lt;&gt;"",$O174&lt;&gt;"",IFERROR(VLOOKUP($O174,'Exceptions'!$A$5:$M$204,2,FALSE),"")="N/A determination",IFERROR(VLOOKUP($O174,'Exceptions'!$A$5:$M$204,13,FALSE),"")="Active",IFERROR(ISNUMBER(SEARCH($A174,IFERROR(VLOOKUP($O174,'Exceptions'!$A$5:$M$204,3,FALSE),""))),FALSE)),0,1),1)))</x:f>
      </x:c>
      <x:c r="T174" t="str">
        <x:f>IF($A174="","",IF($C174="","",IF($H174="N/A",IF(AND($P174&lt;&gt;"",$O174&lt;&gt;"",IFERROR(VLOOKUP($O174,'Exceptions'!$A$5:$M$204,2,FALSE),"")="N/A determination",IFERROR(VLOOKUP($O174,'Exceptions'!$A$5:$M$204,13,FALSE),"")="Active",IFERROR(ISNUMBER(SEARCH($A174,IFERROR(VLOOKUP($O174,'Exceptions'!$A$5:$M$204,3,FALSE),""))),FALSE)),"N/A","FAIL"),IF(OR($H174="Unknown",$H174="",$K174=0,$L174&lt;&gt;"Yes"),"UNKNOWN",IF($H174="Met",IF($K174&gt;=VALUE(RIGHT($G174,1)),"PASS","UNKNOWN"),IF(OR($H174="Partially met",$H174="Unmet"),"FAIL","UNKNOWN"))))))</x:f>
      </x:c>
      <x:c r="U174" t="str">
        <x:f>IF($A174="","",IF($S174=0,0,IF(AND($K174&gt;=1,$L174="Yes"),1,0)))</x:f>
      </x:c>
      <x:c r="V174" t="str">
        <x:f>IF($A174="","",IF(OR($S174=0,$H174="N/A",$L174&lt;&gt;"Yes"),0,$K174))</x:f>
      </x:c>
      <x:c r="AB174" t="str">
        <x:f>IF($A174="","",IF(AND($Q174=1,$H174="N/A",NOT(AND($P174&lt;&gt;"",$O174&lt;&gt;"",IFERROR(VLOOKUP($O174,'Exceptions'!$A$5:$M$204,2,FALSE),"")="N/A determination",IFERROR(VLOOKUP($O174,'Exceptions'!$A$5:$M$204,13,FALSE),"")="Active",IFERROR(ISNUMBER(SEARCH($A174,IFERROR(VLOOKUP($O174,'Exceptions'!$A$5:$M$204,3,FALSE),""))),FALSE)))),"MISSING OR INVALID N/A DECISION",IF(AND($Q174=1,OR($H174="Partially met",$H174="Unmet"),OR($K174&lt;1,$L174&lt;&gt;"Yes")),"KNOWN RATING NEEDS FRESH E1",IF(AND($Q174=1,$H174="Met",OR($K174&lt;VALUE(RIGHT($G174,1)),$L174&lt;&gt;"Yes")),"EVIDENCE BELOW MINIMUM",IF(AND($Q174=1,OR($H174="",$H174="Unknown")),"UNASSESSED",IF(AND($H174="N/A",AND($P174&lt;&gt;"",$O174&lt;&gt;"",IFERROR(VLOOKUP($O174,'Exceptions'!$A$5:$M$204,2,FALSE),"")="N/A determination",IFERROR(VLOOKUP($O174,'Exceptions'!$A$5:$M$204,13,FALSE),"")="Active",IFERROR(ISNUMBER(SEARCH($A174,IFERROR(VLOOKUP($O174,'Exceptions'!$A$5:$M$204,3,FALSE),""))),FALSE))),"N/A APPROVED",IF($O174&lt;&gt;"","EXCEPTION REVIEW","OK")))))))</x:f>
      </x:c>
    </x:row>
    <x:row r="175">
      <x:c r="H175" s="8"/>
      <x:c r="I175" t="str">
        <x:f>IF($A175="","",IF($H175="Met",1,IF($H175="Partially met",0.5,IF(OR($H175="Unmet",$H175="Unknown"),0,""))))</x:f>
      </x:c>
      <x:c r="J175" s="8"/>
      <x:c r="K175" t="str">
        <x:f>IF($A175="","",IF($J175="E4",4,IF($J175="E3",3,IF($J175="E2",2,IF($J175="E1",1,0)))))</x:f>
      </x:c>
      <x:c r="L175" s="8"/>
      <x:c r="M175" s="8"/>
      <x:c r="N175" s="8"/>
      <x:c r="O175" s="8"/>
      <x:c r="P175" s="8"/>
      <x:c r="Q175" t="str">
        <x:f>IF($A175="","",IF($D175="Baseline",1,IF($D175="Elevated",IF(OR('Profile'!$B$11="Elevated",'Profile'!$B$11="Critical"),1,0),IF($D175="Critical",IF('Profile'!$B$11="Critical",1,0),1))))</x:f>
      </x:c>
      <x:c r="R175" t="str">
        <x:f>IF($A175="","",IF($Q175=0,0,IF($H175="N/A",0,IF($H175="Met",IF(AND($K175&gt;=VALUE(RIGHT($G175,1)),$L175="Yes"),1,0),IF($H175="Partially met",IF(AND($K175&gt;=1,$L175="Yes"),0.5,0),0)))))</x:f>
      </x:c>
      <x:c r="S175" t="str">
        <x:f>IF($A175="","",IF($Q175=0,0,IF($H175="N/A",IF(AND($P175&lt;&gt;"",$O175&lt;&gt;"",IFERROR(VLOOKUP($O175,'Exceptions'!$A$5:$M$204,2,FALSE),"")="N/A determination",IFERROR(VLOOKUP($O175,'Exceptions'!$A$5:$M$204,13,FALSE),"")="Active",IFERROR(ISNUMBER(SEARCH($A175,IFERROR(VLOOKUP($O175,'Exceptions'!$A$5:$M$204,3,FALSE),""))),FALSE)),0,1),1)))</x:f>
      </x:c>
      <x:c r="T175" t="str">
        <x:f>IF($A175="","",IF($C175="","",IF($H175="N/A",IF(AND($P175&lt;&gt;"",$O175&lt;&gt;"",IFERROR(VLOOKUP($O175,'Exceptions'!$A$5:$M$204,2,FALSE),"")="N/A determination",IFERROR(VLOOKUP($O175,'Exceptions'!$A$5:$M$204,13,FALSE),"")="Active",IFERROR(ISNUMBER(SEARCH($A175,IFERROR(VLOOKUP($O175,'Exceptions'!$A$5:$M$204,3,FALSE),""))),FALSE)),"N/A","FAIL"),IF(OR($H175="Unknown",$H175="",$K175=0,$L175&lt;&gt;"Yes"),"UNKNOWN",IF($H175="Met",IF($K175&gt;=VALUE(RIGHT($G175,1)),"PASS","UNKNOWN"),IF(OR($H175="Partially met",$H175="Unmet"),"FAIL","UNKNOWN"))))))</x:f>
      </x:c>
      <x:c r="U175" t="str">
        <x:f>IF($A175="","",IF($S175=0,0,IF(AND($K175&gt;=1,$L175="Yes"),1,0)))</x:f>
      </x:c>
      <x:c r="V175" t="str">
        <x:f>IF($A175="","",IF(OR($S175=0,$H175="N/A",$L175&lt;&gt;"Yes"),0,$K175))</x:f>
      </x:c>
      <x:c r="AB175" t="str">
        <x:f>IF($A175="","",IF(AND($Q175=1,$H175="N/A",NOT(AND($P175&lt;&gt;"",$O175&lt;&gt;"",IFERROR(VLOOKUP($O175,'Exceptions'!$A$5:$M$204,2,FALSE),"")="N/A determination",IFERROR(VLOOKUP($O175,'Exceptions'!$A$5:$M$204,13,FALSE),"")="Active",IFERROR(ISNUMBER(SEARCH($A175,IFERROR(VLOOKUP($O175,'Exceptions'!$A$5:$M$204,3,FALSE),""))),FALSE)))),"MISSING OR INVALID N/A DECISION",IF(AND($Q175=1,OR($H175="Partially met",$H175="Unmet"),OR($K175&lt;1,$L175&lt;&gt;"Yes")),"KNOWN RATING NEEDS FRESH E1",IF(AND($Q175=1,$H175="Met",OR($K175&lt;VALUE(RIGHT($G175,1)),$L175&lt;&gt;"Yes")),"EVIDENCE BELOW MINIMUM",IF(AND($Q175=1,OR($H175="",$H175="Unknown")),"UNASSESSED",IF(AND($H175="N/A",AND($P175&lt;&gt;"",$O175&lt;&gt;"",IFERROR(VLOOKUP($O175,'Exceptions'!$A$5:$M$204,2,FALSE),"")="N/A determination",IFERROR(VLOOKUP($O175,'Exceptions'!$A$5:$M$204,13,FALSE),"")="Active",IFERROR(ISNUMBER(SEARCH($A175,IFERROR(VLOOKUP($O175,'Exceptions'!$A$5:$M$204,3,FALSE),""))),FALSE))),"N/A APPROVED",IF($O175&lt;&gt;"","EXCEPTION REVIEW","OK")))))))</x:f>
      </x:c>
    </x:row>
    <x:row r="176">
      <x:c r="H176" s="8"/>
      <x:c r="I176" t="str">
        <x:f>IF($A176="","",IF($H176="Met",1,IF($H176="Partially met",0.5,IF(OR($H176="Unmet",$H176="Unknown"),0,""))))</x:f>
      </x:c>
      <x:c r="J176" s="8"/>
      <x:c r="K176" t="str">
        <x:f>IF($A176="","",IF($J176="E4",4,IF($J176="E3",3,IF($J176="E2",2,IF($J176="E1",1,0)))))</x:f>
      </x:c>
      <x:c r="L176" s="8"/>
      <x:c r="M176" s="8"/>
      <x:c r="N176" s="8"/>
      <x:c r="O176" s="8"/>
      <x:c r="P176" s="8"/>
      <x:c r="Q176" t="str">
        <x:f>IF($A176="","",IF($D176="Baseline",1,IF($D176="Elevated",IF(OR('Profile'!$B$11="Elevated",'Profile'!$B$11="Critical"),1,0),IF($D176="Critical",IF('Profile'!$B$11="Critical",1,0),1))))</x:f>
      </x:c>
      <x:c r="R176" t="str">
        <x:f>IF($A176="","",IF($Q176=0,0,IF($H176="N/A",0,IF($H176="Met",IF(AND($K176&gt;=VALUE(RIGHT($G176,1)),$L176="Yes"),1,0),IF($H176="Partially met",IF(AND($K176&gt;=1,$L176="Yes"),0.5,0),0)))))</x:f>
      </x:c>
      <x:c r="S176" t="str">
        <x:f>IF($A176="","",IF($Q176=0,0,IF($H176="N/A",IF(AND($P176&lt;&gt;"",$O176&lt;&gt;"",IFERROR(VLOOKUP($O176,'Exceptions'!$A$5:$M$204,2,FALSE),"")="N/A determination",IFERROR(VLOOKUP($O176,'Exceptions'!$A$5:$M$204,13,FALSE),"")="Active",IFERROR(ISNUMBER(SEARCH($A176,IFERROR(VLOOKUP($O176,'Exceptions'!$A$5:$M$204,3,FALSE),""))),FALSE)),0,1),1)))</x:f>
      </x:c>
      <x:c r="T176" t="str">
        <x:f>IF($A176="","",IF($C176="","",IF($H176="N/A",IF(AND($P176&lt;&gt;"",$O176&lt;&gt;"",IFERROR(VLOOKUP($O176,'Exceptions'!$A$5:$M$204,2,FALSE),"")="N/A determination",IFERROR(VLOOKUP($O176,'Exceptions'!$A$5:$M$204,13,FALSE),"")="Active",IFERROR(ISNUMBER(SEARCH($A176,IFERROR(VLOOKUP($O176,'Exceptions'!$A$5:$M$204,3,FALSE),""))),FALSE)),"N/A","FAIL"),IF(OR($H176="Unknown",$H176="",$K176=0,$L176&lt;&gt;"Yes"),"UNKNOWN",IF($H176="Met",IF($K176&gt;=VALUE(RIGHT($G176,1)),"PASS","UNKNOWN"),IF(OR($H176="Partially met",$H176="Unmet"),"FAIL","UNKNOWN"))))))</x:f>
      </x:c>
      <x:c r="U176" t="str">
        <x:f>IF($A176="","",IF($S176=0,0,IF(AND($K176&gt;=1,$L176="Yes"),1,0)))</x:f>
      </x:c>
      <x:c r="V176" t="str">
        <x:f>IF($A176="","",IF(OR($S176=0,$H176="N/A",$L176&lt;&gt;"Yes"),0,$K176))</x:f>
      </x:c>
      <x:c r="AB176" t="str">
        <x:f>IF($A176="","",IF(AND($Q176=1,$H176="N/A",NOT(AND($P176&lt;&gt;"",$O176&lt;&gt;"",IFERROR(VLOOKUP($O176,'Exceptions'!$A$5:$M$204,2,FALSE),"")="N/A determination",IFERROR(VLOOKUP($O176,'Exceptions'!$A$5:$M$204,13,FALSE),"")="Active",IFERROR(ISNUMBER(SEARCH($A176,IFERROR(VLOOKUP($O176,'Exceptions'!$A$5:$M$204,3,FALSE),""))),FALSE)))),"MISSING OR INVALID N/A DECISION",IF(AND($Q176=1,OR($H176="Partially met",$H176="Unmet"),OR($K176&lt;1,$L176&lt;&gt;"Yes")),"KNOWN RATING NEEDS FRESH E1",IF(AND($Q176=1,$H176="Met",OR($K176&lt;VALUE(RIGHT($G176,1)),$L176&lt;&gt;"Yes")),"EVIDENCE BELOW MINIMUM",IF(AND($Q176=1,OR($H176="",$H176="Unknown")),"UNASSESSED",IF(AND($H176="N/A",AND($P176&lt;&gt;"",$O176&lt;&gt;"",IFERROR(VLOOKUP($O176,'Exceptions'!$A$5:$M$204,2,FALSE),"")="N/A determination",IFERROR(VLOOKUP($O176,'Exceptions'!$A$5:$M$204,13,FALSE),"")="Active",IFERROR(ISNUMBER(SEARCH($A176,IFERROR(VLOOKUP($O176,'Exceptions'!$A$5:$M$204,3,FALSE),""))),FALSE))),"N/A APPROVED",IF($O176&lt;&gt;"","EXCEPTION REVIEW","OK")))))))</x:f>
      </x:c>
    </x:row>
    <x:row r="177">
      <x:c r="H177" s="8"/>
      <x:c r="I177" t="str">
        <x:f>IF($A177="","",IF($H177="Met",1,IF($H177="Partially met",0.5,IF(OR($H177="Unmet",$H177="Unknown"),0,""))))</x:f>
      </x:c>
      <x:c r="J177" s="8"/>
      <x:c r="K177" t="str">
        <x:f>IF($A177="","",IF($J177="E4",4,IF($J177="E3",3,IF($J177="E2",2,IF($J177="E1",1,0)))))</x:f>
      </x:c>
      <x:c r="L177" s="8"/>
      <x:c r="M177" s="8"/>
      <x:c r="N177" s="8"/>
      <x:c r="O177" s="8"/>
      <x:c r="P177" s="8"/>
      <x:c r="Q177" t="str">
        <x:f>IF($A177="","",IF($D177="Baseline",1,IF($D177="Elevated",IF(OR('Profile'!$B$11="Elevated",'Profile'!$B$11="Critical"),1,0),IF($D177="Critical",IF('Profile'!$B$11="Critical",1,0),1))))</x:f>
      </x:c>
      <x:c r="R177" t="str">
        <x:f>IF($A177="","",IF($Q177=0,0,IF($H177="N/A",0,IF($H177="Met",IF(AND($K177&gt;=VALUE(RIGHT($G177,1)),$L177="Yes"),1,0),IF($H177="Partially met",IF(AND($K177&gt;=1,$L177="Yes"),0.5,0),0)))))</x:f>
      </x:c>
      <x:c r="S177" t="str">
        <x:f>IF($A177="","",IF($Q177=0,0,IF($H177="N/A",IF(AND($P177&lt;&gt;"",$O177&lt;&gt;"",IFERROR(VLOOKUP($O177,'Exceptions'!$A$5:$M$204,2,FALSE),"")="N/A determination",IFERROR(VLOOKUP($O177,'Exceptions'!$A$5:$M$204,13,FALSE),"")="Active",IFERROR(ISNUMBER(SEARCH($A177,IFERROR(VLOOKUP($O177,'Exceptions'!$A$5:$M$204,3,FALSE),""))),FALSE)),0,1),1)))</x:f>
      </x:c>
      <x:c r="T177" t="str">
        <x:f>IF($A177="","",IF($C177="","",IF($H177="N/A",IF(AND($P177&lt;&gt;"",$O177&lt;&gt;"",IFERROR(VLOOKUP($O177,'Exceptions'!$A$5:$M$204,2,FALSE),"")="N/A determination",IFERROR(VLOOKUP($O177,'Exceptions'!$A$5:$M$204,13,FALSE),"")="Active",IFERROR(ISNUMBER(SEARCH($A177,IFERROR(VLOOKUP($O177,'Exceptions'!$A$5:$M$204,3,FALSE),""))),FALSE)),"N/A","FAIL"),IF(OR($H177="Unknown",$H177="",$K177=0,$L177&lt;&gt;"Yes"),"UNKNOWN",IF($H177="Met",IF($K177&gt;=VALUE(RIGHT($G177,1)),"PASS","UNKNOWN"),IF(OR($H177="Partially met",$H177="Unmet"),"FAIL","UNKNOWN"))))))</x:f>
      </x:c>
      <x:c r="U177" t="str">
        <x:f>IF($A177="","",IF($S177=0,0,IF(AND($K177&gt;=1,$L177="Yes"),1,0)))</x:f>
      </x:c>
      <x:c r="V177" t="str">
        <x:f>IF($A177="","",IF(OR($S177=0,$H177="N/A",$L177&lt;&gt;"Yes"),0,$K177))</x:f>
      </x:c>
      <x:c r="AB177" t="str">
        <x:f>IF($A177="","",IF(AND($Q177=1,$H177="N/A",NOT(AND($P177&lt;&gt;"",$O177&lt;&gt;"",IFERROR(VLOOKUP($O177,'Exceptions'!$A$5:$M$204,2,FALSE),"")="N/A determination",IFERROR(VLOOKUP($O177,'Exceptions'!$A$5:$M$204,13,FALSE),"")="Active",IFERROR(ISNUMBER(SEARCH($A177,IFERROR(VLOOKUP($O177,'Exceptions'!$A$5:$M$204,3,FALSE),""))),FALSE)))),"MISSING OR INVALID N/A DECISION",IF(AND($Q177=1,OR($H177="Partially met",$H177="Unmet"),OR($K177&lt;1,$L177&lt;&gt;"Yes")),"KNOWN RATING NEEDS FRESH E1",IF(AND($Q177=1,$H177="Met",OR($K177&lt;VALUE(RIGHT($G177,1)),$L177&lt;&gt;"Yes")),"EVIDENCE BELOW MINIMUM",IF(AND($Q177=1,OR($H177="",$H177="Unknown")),"UNASSESSED",IF(AND($H177="N/A",AND($P177&lt;&gt;"",$O177&lt;&gt;"",IFERROR(VLOOKUP($O177,'Exceptions'!$A$5:$M$204,2,FALSE),"")="N/A determination",IFERROR(VLOOKUP($O177,'Exceptions'!$A$5:$M$204,13,FALSE),"")="Active",IFERROR(ISNUMBER(SEARCH($A177,IFERROR(VLOOKUP($O177,'Exceptions'!$A$5:$M$204,3,FALSE),""))),FALSE))),"N/A APPROVED",IF($O177&lt;&gt;"","EXCEPTION REVIEW","OK")))))))</x:f>
      </x:c>
    </x:row>
    <x:row r="178">
      <x:c r="H178" s="8"/>
      <x:c r="I178" t="str">
        <x:f>IF($A178="","",IF($H178="Met",1,IF($H178="Partially met",0.5,IF(OR($H178="Unmet",$H178="Unknown"),0,""))))</x:f>
      </x:c>
      <x:c r="J178" s="8"/>
      <x:c r="K178" t="str">
        <x:f>IF($A178="","",IF($J178="E4",4,IF($J178="E3",3,IF($J178="E2",2,IF($J178="E1",1,0)))))</x:f>
      </x:c>
      <x:c r="L178" s="8"/>
      <x:c r="M178" s="8"/>
      <x:c r="N178" s="8"/>
      <x:c r="O178" s="8"/>
      <x:c r="P178" s="8"/>
      <x:c r="Q178" t="str">
        <x:f>IF($A178="","",IF($D178="Baseline",1,IF($D178="Elevated",IF(OR('Profile'!$B$11="Elevated",'Profile'!$B$11="Critical"),1,0),IF($D178="Critical",IF('Profile'!$B$11="Critical",1,0),1))))</x:f>
      </x:c>
      <x:c r="R178" t="str">
        <x:f>IF($A178="","",IF($Q178=0,0,IF($H178="N/A",0,IF($H178="Met",IF(AND($K178&gt;=VALUE(RIGHT($G178,1)),$L178="Yes"),1,0),IF($H178="Partially met",IF(AND($K178&gt;=1,$L178="Yes"),0.5,0),0)))))</x:f>
      </x:c>
      <x:c r="S178" t="str">
        <x:f>IF($A178="","",IF($Q178=0,0,IF($H178="N/A",IF(AND($P178&lt;&gt;"",$O178&lt;&gt;"",IFERROR(VLOOKUP($O178,'Exceptions'!$A$5:$M$204,2,FALSE),"")="N/A determination",IFERROR(VLOOKUP($O178,'Exceptions'!$A$5:$M$204,13,FALSE),"")="Active",IFERROR(ISNUMBER(SEARCH($A178,IFERROR(VLOOKUP($O178,'Exceptions'!$A$5:$M$204,3,FALSE),""))),FALSE)),0,1),1)))</x:f>
      </x:c>
      <x:c r="T178" t="str">
        <x:f>IF($A178="","",IF($C178="","",IF($H178="N/A",IF(AND($P178&lt;&gt;"",$O178&lt;&gt;"",IFERROR(VLOOKUP($O178,'Exceptions'!$A$5:$M$204,2,FALSE),"")="N/A determination",IFERROR(VLOOKUP($O178,'Exceptions'!$A$5:$M$204,13,FALSE),"")="Active",IFERROR(ISNUMBER(SEARCH($A178,IFERROR(VLOOKUP($O178,'Exceptions'!$A$5:$M$204,3,FALSE),""))),FALSE)),"N/A","FAIL"),IF(OR($H178="Unknown",$H178="",$K178=0,$L178&lt;&gt;"Yes"),"UNKNOWN",IF($H178="Met",IF($K178&gt;=VALUE(RIGHT($G178,1)),"PASS","UNKNOWN"),IF(OR($H178="Partially met",$H178="Unmet"),"FAIL","UNKNOWN"))))))</x:f>
      </x:c>
      <x:c r="U178" t="str">
        <x:f>IF($A178="","",IF($S178=0,0,IF(AND($K178&gt;=1,$L178="Yes"),1,0)))</x:f>
      </x:c>
      <x:c r="V178" t="str">
        <x:f>IF($A178="","",IF(OR($S178=0,$H178="N/A",$L178&lt;&gt;"Yes"),0,$K178))</x:f>
      </x:c>
      <x:c r="AB178" t="str">
        <x:f>IF($A178="","",IF(AND($Q178=1,$H178="N/A",NOT(AND($P178&lt;&gt;"",$O178&lt;&gt;"",IFERROR(VLOOKUP($O178,'Exceptions'!$A$5:$M$204,2,FALSE),"")="N/A determination",IFERROR(VLOOKUP($O178,'Exceptions'!$A$5:$M$204,13,FALSE),"")="Active",IFERROR(ISNUMBER(SEARCH($A178,IFERROR(VLOOKUP($O178,'Exceptions'!$A$5:$M$204,3,FALSE),""))),FALSE)))),"MISSING OR INVALID N/A DECISION",IF(AND($Q178=1,OR($H178="Partially met",$H178="Unmet"),OR($K178&lt;1,$L178&lt;&gt;"Yes")),"KNOWN RATING NEEDS FRESH E1",IF(AND($Q178=1,$H178="Met",OR($K178&lt;VALUE(RIGHT($G178,1)),$L178&lt;&gt;"Yes")),"EVIDENCE BELOW MINIMUM",IF(AND($Q178=1,OR($H178="",$H178="Unknown")),"UNASSESSED",IF(AND($H178="N/A",AND($P178&lt;&gt;"",$O178&lt;&gt;"",IFERROR(VLOOKUP($O178,'Exceptions'!$A$5:$M$204,2,FALSE),"")="N/A determination",IFERROR(VLOOKUP($O178,'Exceptions'!$A$5:$M$204,13,FALSE),"")="Active",IFERROR(ISNUMBER(SEARCH($A178,IFERROR(VLOOKUP($O178,'Exceptions'!$A$5:$M$204,3,FALSE),""))),FALSE))),"N/A APPROVED",IF($O178&lt;&gt;"","EXCEPTION REVIEW","OK")))))))</x:f>
      </x:c>
    </x:row>
    <x:row r="179">
      <x:c r="H179" s="8"/>
      <x:c r="I179" t="str">
        <x:f>IF($A179="","",IF($H179="Met",1,IF($H179="Partially met",0.5,IF(OR($H179="Unmet",$H179="Unknown"),0,""))))</x:f>
      </x:c>
      <x:c r="J179" s="8"/>
      <x:c r="K179" t="str">
        <x:f>IF($A179="","",IF($J179="E4",4,IF($J179="E3",3,IF($J179="E2",2,IF($J179="E1",1,0)))))</x:f>
      </x:c>
      <x:c r="L179" s="8"/>
      <x:c r="M179" s="8"/>
      <x:c r="N179" s="8"/>
      <x:c r="O179" s="8"/>
      <x:c r="P179" s="8"/>
      <x:c r="Q179" t="str">
        <x:f>IF($A179="","",IF($D179="Baseline",1,IF($D179="Elevated",IF(OR('Profile'!$B$11="Elevated",'Profile'!$B$11="Critical"),1,0),IF($D179="Critical",IF('Profile'!$B$11="Critical",1,0),1))))</x:f>
      </x:c>
      <x:c r="R179" t="str">
        <x:f>IF($A179="","",IF($Q179=0,0,IF($H179="N/A",0,IF($H179="Met",IF(AND($K179&gt;=VALUE(RIGHT($G179,1)),$L179="Yes"),1,0),IF($H179="Partially met",IF(AND($K179&gt;=1,$L179="Yes"),0.5,0),0)))))</x:f>
      </x:c>
      <x:c r="S179" t="str">
        <x:f>IF($A179="","",IF($Q179=0,0,IF($H179="N/A",IF(AND($P179&lt;&gt;"",$O179&lt;&gt;"",IFERROR(VLOOKUP($O179,'Exceptions'!$A$5:$M$204,2,FALSE),"")="N/A determination",IFERROR(VLOOKUP($O179,'Exceptions'!$A$5:$M$204,13,FALSE),"")="Active",IFERROR(ISNUMBER(SEARCH($A179,IFERROR(VLOOKUP($O179,'Exceptions'!$A$5:$M$204,3,FALSE),""))),FALSE)),0,1),1)))</x:f>
      </x:c>
      <x:c r="T179" t="str">
        <x:f>IF($A179="","",IF($C179="","",IF($H179="N/A",IF(AND($P179&lt;&gt;"",$O179&lt;&gt;"",IFERROR(VLOOKUP($O179,'Exceptions'!$A$5:$M$204,2,FALSE),"")="N/A determination",IFERROR(VLOOKUP($O179,'Exceptions'!$A$5:$M$204,13,FALSE),"")="Active",IFERROR(ISNUMBER(SEARCH($A179,IFERROR(VLOOKUP($O179,'Exceptions'!$A$5:$M$204,3,FALSE),""))),FALSE)),"N/A","FAIL"),IF(OR($H179="Unknown",$H179="",$K179=0,$L179&lt;&gt;"Yes"),"UNKNOWN",IF($H179="Met",IF($K179&gt;=VALUE(RIGHT($G179,1)),"PASS","UNKNOWN"),IF(OR($H179="Partially met",$H179="Unmet"),"FAIL","UNKNOWN"))))))</x:f>
      </x:c>
      <x:c r="U179" t="str">
        <x:f>IF($A179="","",IF($S179=0,0,IF(AND($K179&gt;=1,$L179="Yes"),1,0)))</x:f>
      </x:c>
      <x:c r="V179" t="str">
        <x:f>IF($A179="","",IF(OR($S179=0,$H179="N/A",$L179&lt;&gt;"Yes"),0,$K179))</x:f>
      </x:c>
      <x:c r="AB179" t="str">
        <x:f>IF($A179="","",IF(AND($Q179=1,$H179="N/A",NOT(AND($P179&lt;&gt;"",$O179&lt;&gt;"",IFERROR(VLOOKUP($O179,'Exceptions'!$A$5:$M$204,2,FALSE),"")="N/A determination",IFERROR(VLOOKUP($O179,'Exceptions'!$A$5:$M$204,13,FALSE),"")="Active",IFERROR(ISNUMBER(SEARCH($A179,IFERROR(VLOOKUP($O179,'Exceptions'!$A$5:$M$204,3,FALSE),""))),FALSE)))),"MISSING OR INVALID N/A DECISION",IF(AND($Q179=1,OR($H179="Partially met",$H179="Unmet"),OR($K179&lt;1,$L179&lt;&gt;"Yes")),"KNOWN RATING NEEDS FRESH E1",IF(AND($Q179=1,$H179="Met",OR($K179&lt;VALUE(RIGHT($G179,1)),$L179&lt;&gt;"Yes")),"EVIDENCE BELOW MINIMUM",IF(AND($Q179=1,OR($H179="",$H179="Unknown")),"UNASSESSED",IF(AND($H179="N/A",AND($P179&lt;&gt;"",$O179&lt;&gt;"",IFERROR(VLOOKUP($O179,'Exceptions'!$A$5:$M$204,2,FALSE),"")="N/A determination",IFERROR(VLOOKUP($O179,'Exceptions'!$A$5:$M$204,13,FALSE),"")="Active",IFERROR(ISNUMBER(SEARCH($A179,IFERROR(VLOOKUP($O179,'Exceptions'!$A$5:$M$204,3,FALSE),""))),FALSE))),"N/A APPROVED",IF($O179&lt;&gt;"","EXCEPTION REVIEW","OK")))))))</x:f>
      </x:c>
    </x:row>
    <x:row r="180">
      <x:c r="H180" s="8"/>
      <x:c r="I180" t="str">
        <x:f>IF($A180="","",IF($H180="Met",1,IF($H180="Partially met",0.5,IF(OR($H180="Unmet",$H180="Unknown"),0,""))))</x:f>
      </x:c>
      <x:c r="J180" s="8"/>
      <x:c r="K180" t="str">
        <x:f>IF($A180="","",IF($J180="E4",4,IF($J180="E3",3,IF($J180="E2",2,IF($J180="E1",1,0)))))</x:f>
      </x:c>
      <x:c r="L180" s="8"/>
      <x:c r="M180" s="8"/>
      <x:c r="N180" s="8"/>
      <x:c r="O180" s="8"/>
      <x:c r="P180" s="8"/>
      <x:c r="Q180" t="str">
        <x:f>IF($A180="","",IF($D180="Baseline",1,IF($D180="Elevated",IF(OR('Profile'!$B$11="Elevated",'Profile'!$B$11="Critical"),1,0),IF($D180="Critical",IF('Profile'!$B$11="Critical",1,0),1))))</x:f>
      </x:c>
      <x:c r="R180" t="str">
        <x:f>IF($A180="","",IF($Q180=0,0,IF($H180="N/A",0,IF($H180="Met",IF(AND($K180&gt;=VALUE(RIGHT($G180,1)),$L180="Yes"),1,0),IF($H180="Partially met",IF(AND($K180&gt;=1,$L180="Yes"),0.5,0),0)))))</x:f>
      </x:c>
      <x:c r="S180" t="str">
        <x:f>IF($A180="","",IF($Q180=0,0,IF($H180="N/A",IF(AND($P180&lt;&gt;"",$O180&lt;&gt;"",IFERROR(VLOOKUP($O180,'Exceptions'!$A$5:$M$204,2,FALSE),"")="N/A determination",IFERROR(VLOOKUP($O180,'Exceptions'!$A$5:$M$204,13,FALSE),"")="Active",IFERROR(ISNUMBER(SEARCH($A180,IFERROR(VLOOKUP($O180,'Exceptions'!$A$5:$M$204,3,FALSE),""))),FALSE)),0,1),1)))</x:f>
      </x:c>
      <x:c r="T180" t="str">
        <x:f>IF($A180="","",IF($C180="","",IF($H180="N/A",IF(AND($P180&lt;&gt;"",$O180&lt;&gt;"",IFERROR(VLOOKUP($O180,'Exceptions'!$A$5:$M$204,2,FALSE),"")="N/A determination",IFERROR(VLOOKUP($O180,'Exceptions'!$A$5:$M$204,13,FALSE),"")="Active",IFERROR(ISNUMBER(SEARCH($A180,IFERROR(VLOOKUP($O180,'Exceptions'!$A$5:$M$204,3,FALSE),""))),FALSE)),"N/A","FAIL"),IF(OR($H180="Unknown",$H180="",$K180=0,$L180&lt;&gt;"Yes"),"UNKNOWN",IF($H180="Met",IF($K180&gt;=VALUE(RIGHT($G180,1)),"PASS","UNKNOWN"),IF(OR($H180="Partially met",$H180="Unmet"),"FAIL","UNKNOWN"))))))</x:f>
      </x:c>
      <x:c r="U180" t="str">
        <x:f>IF($A180="","",IF($S180=0,0,IF(AND($K180&gt;=1,$L180="Yes"),1,0)))</x:f>
      </x:c>
      <x:c r="V180" t="str">
        <x:f>IF($A180="","",IF(OR($S180=0,$H180="N/A",$L180&lt;&gt;"Yes"),0,$K180))</x:f>
      </x:c>
      <x:c r="AB180" t="str">
        <x:f>IF($A180="","",IF(AND($Q180=1,$H180="N/A",NOT(AND($P180&lt;&gt;"",$O180&lt;&gt;"",IFERROR(VLOOKUP($O180,'Exceptions'!$A$5:$M$204,2,FALSE),"")="N/A determination",IFERROR(VLOOKUP($O180,'Exceptions'!$A$5:$M$204,13,FALSE),"")="Active",IFERROR(ISNUMBER(SEARCH($A180,IFERROR(VLOOKUP($O180,'Exceptions'!$A$5:$M$204,3,FALSE),""))),FALSE)))),"MISSING OR INVALID N/A DECISION",IF(AND($Q180=1,OR($H180="Partially met",$H180="Unmet"),OR($K180&lt;1,$L180&lt;&gt;"Yes")),"KNOWN RATING NEEDS FRESH E1",IF(AND($Q180=1,$H180="Met",OR($K180&lt;VALUE(RIGHT($G180,1)),$L180&lt;&gt;"Yes")),"EVIDENCE BELOW MINIMUM",IF(AND($Q180=1,OR($H180="",$H180="Unknown")),"UNASSESSED",IF(AND($H180="N/A",AND($P180&lt;&gt;"",$O180&lt;&gt;"",IFERROR(VLOOKUP($O180,'Exceptions'!$A$5:$M$204,2,FALSE),"")="N/A determination",IFERROR(VLOOKUP($O180,'Exceptions'!$A$5:$M$204,13,FALSE),"")="Active",IFERROR(ISNUMBER(SEARCH($A180,IFERROR(VLOOKUP($O180,'Exceptions'!$A$5:$M$204,3,FALSE),""))),FALSE))),"N/A APPROVED",IF($O180&lt;&gt;"","EXCEPTION REVIEW","OK")))))))</x:f>
      </x:c>
    </x:row>
    <x:row r="181">
      <x:c r="H181" s="8"/>
      <x:c r="I181" t="str">
        <x:f>IF($A181="","",IF($H181="Met",1,IF($H181="Partially met",0.5,IF(OR($H181="Unmet",$H181="Unknown"),0,""))))</x:f>
      </x:c>
      <x:c r="J181" s="8"/>
      <x:c r="K181" t="str">
        <x:f>IF($A181="","",IF($J181="E4",4,IF($J181="E3",3,IF($J181="E2",2,IF($J181="E1",1,0)))))</x:f>
      </x:c>
      <x:c r="L181" s="8"/>
      <x:c r="M181" s="8"/>
      <x:c r="N181" s="8"/>
      <x:c r="O181" s="8"/>
      <x:c r="P181" s="8"/>
      <x:c r="Q181" t="str">
        <x:f>IF($A181="","",IF($D181="Baseline",1,IF($D181="Elevated",IF(OR('Profile'!$B$11="Elevated",'Profile'!$B$11="Critical"),1,0),IF($D181="Critical",IF('Profile'!$B$11="Critical",1,0),1))))</x:f>
      </x:c>
      <x:c r="R181" t="str">
        <x:f>IF($A181="","",IF($Q181=0,0,IF($H181="N/A",0,IF($H181="Met",IF(AND($K181&gt;=VALUE(RIGHT($G181,1)),$L181="Yes"),1,0),IF($H181="Partially met",IF(AND($K181&gt;=1,$L181="Yes"),0.5,0),0)))))</x:f>
      </x:c>
      <x:c r="S181" t="str">
        <x:f>IF($A181="","",IF($Q181=0,0,IF($H181="N/A",IF(AND($P181&lt;&gt;"",$O181&lt;&gt;"",IFERROR(VLOOKUP($O181,'Exceptions'!$A$5:$M$204,2,FALSE),"")="N/A determination",IFERROR(VLOOKUP($O181,'Exceptions'!$A$5:$M$204,13,FALSE),"")="Active",IFERROR(ISNUMBER(SEARCH($A181,IFERROR(VLOOKUP($O181,'Exceptions'!$A$5:$M$204,3,FALSE),""))),FALSE)),0,1),1)))</x:f>
      </x:c>
      <x:c r="T181" t="str">
        <x:f>IF($A181="","",IF($C181="","",IF($H181="N/A",IF(AND($P181&lt;&gt;"",$O181&lt;&gt;"",IFERROR(VLOOKUP($O181,'Exceptions'!$A$5:$M$204,2,FALSE),"")="N/A determination",IFERROR(VLOOKUP($O181,'Exceptions'!$A$5:$M$204,13,FALSE),"")="Active",IFERROR(ISNUMBER(SEARCH($A181,IFERROR(VLOOKUP($O181,'Exceptions'!$A$5:$M$204,3,FALSE),""))),FALSE)),"N/A","FAIL"),IF(OR($H181="Unknown",$H181="",$K181=0,$L181&lt;&gt;"Yes"),"UNKNOWN",IF($H181="Met",IF($K181&gt;=VALUE(RIGHT($G181,1)),"PASS","UNKNOWN"),IF(OR($H181="Partially met",$H181="Unmet"),"FAIL","UNKNOWN"))))))</x:f>
      </x:c>
      <x:c r="U181" t="str">
        <x:f>IF($A181="","",IF($S181=0,0,IF(AND($K181&gt;=1,$L181="Yes"),1,0)))</x:f>
      </x:c>
      <x:c r="V181" t="str">
        <x:f>IF($A181="","",IF(OR($S181=0,$H181="N/A",$L181&lt;&gt;"Yes"),0,$K181))</x:f>
      </x:c>
      <x:c r="AB181" t="str">
        <x:f>IF($A181="","",IF(AND($Q181=1,$H181="N/A",NOT(AND($P181&lt;&gt;"",$O181&lt;&gt;"",IFERROR(VLOOKUP($O181,'Exceptions'!$A$5:$M$204,2,FALSE),"")="N/A determination",IFERROR(VLOOKUP($O181,'Exceptions'!$A$5:$M$204,13,FALSE),"")="Active",IFERROR(ISNUMBER(SEARCH($A181,IFERROR(VLOOKUP($O181,'Exceptions'!$A$5:$M$204,3,FALSE),""))),FALSE)))),"MISSING OR INVALID N/A DECISION",IF(AND($Q181=1,OR($H181="Partially met",$H181="Unmet"),OR($K181&lt;1,$L181&lt;&gt;"Yes")),"KNOWN RATING NEEDS FRESH E1",IF(AND($Q181=1,$H181="Met",OR($K181&lt;VALUE(RIGHT($G181,1)),$L181&lt;&gt;"Yes")),"EVIDENCE BELOW MINIMUM",IF(AND($Q181=1,OR($H181="",$H181="Unknown")),"UNASSESSED",IF(AND($H181="N/A",AND($P181&lt;&gt;"",$O181&lt;&gt;"",IFERROR(VLOOKUP($O181,'Exceptions'!$A$5:$M$204,2,FALSE),"")="N/A determination",IFERROR(VLOOKUP($O181,'Exceptions'!$A$5:$M$204,13,FALSE),"")="Active",IFERROR(ISNUMBER(SEARCH($A181,IFERROR(VLOOKUP($O181,'Exceptions'!$A$5:$M$204,3,FALSE),""))),FALSE))),"N/A APPROVED",IF($O181&lt;&gt;"","EXCEPTION REVIEW","OK")))))))</x:f>
      </x:c>
    </x:row>
    <x:row r="182">
      <x:c r="H182" s="8"/>
      <x:c r="I182" t="str">
        <x:f>IF($A182="","",IF($H182="Met",1,IF($H182="Partially met",0.5,IF(OR($H182="Unmet",$H182="Unknown"),0,""))))</x:f>
      </x:c>
      <x:c r="J182" s="8"/>
      <x:c r="K182" t="str">
        <x:f>IF($A182="","",IF($J182="E4",4,IF($J182="E3",3,IF($J182="E2",2,IF($J182="E1",1,0)))))</x:f>
      </x:c>
      <x:c r="L182" s="8"/>
      <x:c r="M182" s="8"/>
      <x:c r="N182" s="8"/>
      <x:c r="O182" s="8"/>
      <x:c r="P182" s="8"/>
      <x:c r="Q182" t="str">
        <x:f>IF($A182="","",IF($D182="Baseline",1,IF($D182="Elevated",IF(OR('Profile'!$B$11="Elevated",'Profile'!$B$11="Critical"),1,0),IF($D182="Critical",IF('Profile'!$B$11="Critical",1,0),1))))</x:f>
      </x:c>
      <x:c r="R182" t="str">
        <x:f>IF($A182="","",IF($Q182=0,0,IF($H182="N/A",0,IF($H182="Met",IF(AND($K182&gt;=VALUE(RIGHT($G182,1)),$L182="Yes"),1,0),IF($H182="Partially met",IF(AND($K182&gt;=1,$L182="Yes"),0.5,0),0)))))</x:f>
      </x:c>
      <x:c r="S182" t="str">
        <x:f>IF($A182="","",IF($Q182=0,0,IF($H182="N/A",IF(AND($P182&lt;&gt;"",$O182&lt;&gt;"",IFERROR(VLOOKUP($O182,'Exceptions'!$A$5:$M$204,2,FALSE),"")="N/A determination",IFERROR(VLOOKUP($O182,'Exceptions'!$A$5:$M$204,13,FALSE),"")="Active",IFERROR(ISNUMBER(SEARCH($A182,IFERROR(VLOOKUP($O182,'Exceptions'!$A$5:$M$204,3,FALSE),""))),FALSE)),0,1),1)))</x:f>
      </x:c>
      <x:c r="T182" t="str">
        <x:f>IF($A182="","",IF($C182="","",IF($H182="N/A",IF(AND($P182&lt;&gt;"",$O182&lt;&gt;"",IFERROR(VLOOKUP($O182,'Exceptions'!$A$5:$M$204,2,FALSE),"")="N/A determination",IFERROR(VLOOKUP($O182,'Exceptions'!$A$5:$M$204,13,FALSE),"")="Active",IFERROR(ISNUMBER(SEARCH($A182,IFERROR(VLOOKUP($O182,'Exceptions'!$A$5:$M$204,3,FALSE),""))),FALSE)),"N/A","FAIL"),IF(OR($H182="Unknown",$H182="",$K182=0,$L182&lt;&gt;"Yes"),"UNKNOWN",IF($H182="Met",IF($K182&gt;=VALUE(RIGHT($G182,1)),"PASS","UNKNOWN"),IF(OR($H182="Partially met",$H182="Unmet"),"FAIL","UNKNOWN"))))))</x:f>
      </x:c>
      <x:c r="U182" t="str">
        <x:f>IF($A182="","",IF($S182=0,0,IF(AND($K182&gt;=1,$L182="Yes"),1,0)))</x:f>
      </x:c>
      <x:c r="V182" t="str">
        <x:f>IF($A182="","",IF(OR($S182=0,$H182="N/A",$L182&lt;&gt;"Yes"),0,$K182))</x:f>
      </x:c>
      <x:c r="AB182" t="str">
        <x:f>IF($A182="","",IF(AND($Q182=1,$H182="N/A",NOT(AND($P182&lt;&gt;"",$O182&lt;&gt;"",IFERROR(VLOOKUP($O182,'Exceptions'!$A$5:$M$204,2,FALSE),"")="N/A determination",IFERROR(VLOOKUP($O182,'Exceptions'!$A$5:$M$204,13,FALSE),"")="Active",IFERROR(ISNUMBER(SEARCH($A182,IFERROR(VLOOKUP($O182,'Exceptions'!$A$5:$M$204,3,FALSE),""))),FALSE)))),"MISSING OR INVALID N/A DECISION",IF(AND($Q182=1,OR($H182="Partially met",$H182="Unmet"),OR($K182&lt;1,$L182&lt;&gt;"Yes")),"KNOWN RATING NEEDS FRESH E1",IF(AND($Q182=1,$H182="Met",OR($K182&lt;VALUE(RIGHT($G182,1)),$L182&lt;&gt;"Yes")),"EVIDENCE BELOW MINIMUM",IF(AND($Q182=1,OR($H182="",$H182="Unknown")),"UNASSESSED",IF(AND($H182="N/A",AND($P182&lt;&gt;"",$O182&lt;&gt;"",IFERROR(VLOOKUP($O182,'Exceptions'!$A$5:$M$204,2,FALSE),"")="N/A determination",IFERROR(VLOOKUP($O182,'Exceptions'!$A$5:$M$204,13,FALSE),"")="Active",IFERROR(ISNUMBER(SEARCH($A182,IFERROR(VLOOKUP($O182,'Exceptions'!$A$5:$M$204,3,FALSE),""))),FALSE))),"N/A APPROVED",IF($O182&lt;&gt;"","EXCEPTION REVIEW","OK")))))))</x:f>
      </x:c>
    </x:row>
    <x:row r="183">
      <x:c r="H183" s="8"/>
      <x:c r="I183" t="str">
        <x:f>IF($A183="","",IF($H183="Met",1,IF($H183="Partially met",0.5,IF(OR($H183="Unmet",$H183="Unknown"),0,""))))</x:f>
      </x:c>
      <x:c r="J183" s="8"/>
      <x:c r="K183" t="str">
        <x:f>IF($A183="","",IF($J183="E4",4,IF($J183="E3",3,IF($J183="E2",2,IF($J183="E1",1,0)))))</x:f>
      </x:c>
      <x:c r="L183" s="8"/>
      <x:c r="M183" s="8"/>
      <x:c r="N183" s="8"/>
      <x:c r="O183" s="8"/>
      <x:c r="P183" s="8"/>
      <x:c r="Q183" t="str">
        <x:f>IF($A183="","",IF($D183="Baseline",1,IF($D183="Elevated",IF(OR('Profile'!$B$11="Elevated",'Profile'!$B$11="Critical"),1,0),IF($D183="Critical",IF('Profile'!$B$11="Critical",1,0),1))))</x:f>
      </x:c>
      <x:c r="R183" t="str">
        <x:f>IF($A183="","",IF($Q183=0,0,IF($H183="N/A",0,IF($H183="Met",IF(AND($K183&gt;=VALUE(RIGHT($G183,1)),$L183="Yes"),1,0),IF($H183="Partially met",IF(AND($K183&gt;=1,$L183="Yes"),0.5,0),0)))))</x:f>
      </x:c>
      <x:c r="S183" t="str">
        <x:f>IF($A183="","",IF($Q183=0,0,IF($H183="N/A",IF(AND($P183&lt;&gt;"",$O183&lt;&gt;"",IFERROR(VLOOKUP($O183,'Exceptions'!$A$5:$M$204,2,FALSE),"")="N/A determination",IFERROR(VLOOKUP($O183,'Exceptions'!$A$5:$M$204,13,FALSE),"")="Active",IFERROR(ISNUMBER(SEARCH($A183,IFERROR(VLOOKUP($O183,'Exceptions'!$A$5:$M$204,3,FALSE),""))),FALSE)),0,1),1)))</x:f>
      </x:c>
      <x:c r="T183" t="str">
        <x:f>IF($A183="","",IF($C183="","",IF($H183="N/A",IF(AND($P183&lt;&gt;"",$O183&lt;&gt;"",IFERROR(VLOOKUP($O183,'Exceptions'!$A$5:$M$204,2,FALSE),"")="N/A determination",IFERROR(VLOOKUP($O183,'Exceptions'!$A$5:$M$204,13,FALSE),"")="Active",IFERROR(ISNUMBER(SEARCH($A183,IFERROR(VLOOKUP($O183,'Exceptions'!$A$5:$M$204,3,FALSE),""))),FALSE)),"N/A","FAIL"),IF(OR($H183="Unknown",$H183="",$K183=0,$L183&lt;&gt;"Yes"),"UNKNOWN",IF($H183="Met",IF($K183&gt;=VALUE(RIGHT($G183,1)),"PASS","UNKNOWN"),IF(OR($H183="Partially met",$H183="Unmet"),"FAIL","UNKNOWN"))))))</x:f>
      </x:c>
      <x:c r="U183" t="str">
        <x:f>IF($A183="","",IF($S183=0,0,IF(AND($K183&gt;=1,$L183="Yes"),1,0)))</x:f>
      </x:c>
      <x:c r="V183" t="str">
        <x:f>IF($A183="","",IF(OR($S183=0,$H183="N/A",$L183&lt;&gt;"Yes"),0,$K183))</x:f>
      </x:c>
      <x:c r="AB183" t="str">
        <x:f>IF($A183="","",IF(AND($Q183=1,$H183="N/A",NOT(AND($P183&lt;&gt;"",$O183&lt;&gt;"",IFERROR(VLOOKUP($O183,'Exceptions'!$A$5:$M$204,2,FALSE),"")="N/A determination",IFERROR(VLOOKUP($O183,'Exceptions'!$A$5:$M$204,13,FALSE),"")="Active",IFERROR(ISNUMBER(SEARCH($A183,IFERROR(VLOOKUP($O183,'Exceptions'!$A$5:$M$204,3,FALSE),""))),FALSE)))),"MISSING OR INVALID N/A DECISION",IF(AND($Q183=1,OR($H183="Partially met",$H183="Unmet"),OR($K183&lt;1,$L183&lt;&gt;"Yes")),"KNOWN RATING NEEDS FRESH E1",IF(AND($Q183=1,$H183="Met",OR($K183&lt;VALUE(RIGHT($G183,1)),$L183&lt;&gt;"Yes")),"EVIDENCE BELOW MINIMUM",IF(AND($Q183=1,OR($H183="",$H183="Unknown")),"UNASSESSED",IF(AND($H183="N/A",AND($P183&lt;&gt;"",$O183&lt;&gt;"",IFERROR(VLOOKUP($O183,'Exceptions'!$A$5:$M$204,2,FALSE),"")="N/A determination",IFERROR(VLOOKUP($O183,'Exceptions'!$A$5:$M$204,13,FALSE),"")="Active",IFERROR(ISNUMBER(SEARCH($A183,IFERROR(VLOOKUP($O183,'Exceptions'!$A$5:$M$204,3,FALSE),""))),FALSE))),"N/A APPROVED",IF($O183&lt;&gt;"","EXCEPTION REVIEW","OK")))))))</x:f>
      </x:c>
    </x:row>
    <x:row r="184">
      <x:c r="H184" s="8"/>
      <x:c r="I184" t="str">
        <x:f>IF($A184="","",IF($H184="Met",1,IF($H184="Partially met",0.5,IF(OR($H184="Unmet",$H184="Unknown"),0,""))))</x:f>
      </x:c>
      <x:c r="J184" s="8"/>
      <x:c r="K184" t="str">
        <x:f>IF($A184="","",IF($J184="E4",4,IF($J184="E3",3,IF($J184="E2",2,IF($J184="E1",1,0)))))</x:f>
      </x:c>
      <x:c r="L184" s="8"/>
      <x:c r="M184" s="8"/>
      <x:c r="N184" s="8"/>
      <x:c r="O184" s="8"/>
      <x:c r="P184" s="8"/>
      <x:c r="Q184" t="str">
        <x:f>IF($A184="","",IF($D184="Baseline",1,IF($D184="Elevated",IF(OR('Profile'!$B$11="Elevated",'Profile'!$B$11="Critical"),1,0),IF($D184="Critical",IF('Profile'!$B$11="Critical",1,0),1))))</x:f>
      </x:c>
      <x:c r="R184" t="str">
        <x:f>IF($A184="","",IF($Q184=0,0,IF($H184="N/A",0,IF($H184="Met",IF(AND($K184&gt;=VALUE(RIGHT($G184,1)),$L184="Yes"),1,0),IF($H184="Partially met",IF(AND($K184&gt;=1,$L184="Yes"),0.5,0),0)))))</x:f>
      </x:c>
      <x:c r="S184" t="str">
        <x:f>IF($A184="","",IF($Q184=0,0,IF($H184="N/A",IF(AND($P184&lt;&gt;"",$O184&lt;&gt;"",IFERROR(VLOOKUP($O184,'Exceptions'!$A$5:$M$204,2,FALSE),"")="N/A determination",IFERROR(VLOOKUP($O184,'Exceptions'!$A$5:$M$204,13,FALSE),"")="Active",IFERROR(ISNUMBER(SEARCH($A184,IFERROR(VLOOKUP($O184,'Exceptions'!$A$5:$M$204,3,FALSE),""))),FALSE)),0,1),1)))</x:f>
      </x:c>
      <x:c r="T184" t="str">
        <x:f>IF($A184="","",IF($C184="","",IF($H184="N/A",IF(AND($P184&lt;&gt;"",$O184&lt;&gt;"",IFERROR(VLOOKUP($O184,'Exceptions'!$A$5:$M$204,2,FALSE),"")="N/A determination",IFERROR(VLOOKUP($O184,'Exceptions'!$A$5:$M$204,13,FALSE),"")="Active",IFERROR(ISNUMBER(SEARCH($A184,IFERROR(VLOOKUP($O184,'Exceptions'!$A$5:$M$204,3,FALSE),""))),FALSE)),"N/A","FAIL"),IF(OR($H184="Unknown",$H184="",$K184=0,$L184&lt;&gt;"Yes"),"UNKNOWN",IF($H184="Met",IF($K184&gt;=VALUE(RIGHT($G184,1)),"PASS","UNKNOWN"),IF(OR($H184="Partially met",$H184="Unmet"),"FAIL","UNKNOWN"))))))</x:f>
      </x:c>
      <x:c r="U184" t="str">
        <x:f>IF($A184="","",IF($S184=0,0,IF(AND($K184&gt;=1,$L184="Yes"),1,0)))</x:f>
      </x:c>
      <x:c r="V184" t="str">
        <x:f>IF($A184="","",IF(OR($S184=0,$H184="N/A",$L184&lt;&gt;"Yes"),0,$K184))</x:f>
      </x:c>
      <x:c r="AB184" t="str">
        <x:f>IF($A184="","",IF(AND($Q184=1,$H184="N/A",NOT(AND($P184&lt;&gt;"",$O184&lt;&gt;"",IFERROR(VLOOKUP($O184,'Exceptions'!$A$5:$M$204,2,FALSE),"")="N/A determination",IFERROR(VLOOKUP($O184,'Exceptions'!$A$5:$M$204,13,FALSE),"")="Active",IFERROR(ISNUMBER(SEARCH($A184,IFERROR(VLOOKUP($O184,'Exceptions'!$A$5:$M$204,3,FALSE),""))),FALSE)))),"MISSING OR INVALID N/A DECISION",IF(AND($Q184=1,OR($H184="Partially met",$H184="Unmet"),OR($K184&lt;1,$L184&lt;&gt;"Yes")),"KNOWN RATING NEEDS FRESH E1",IF(AND($Q184=1,$H184="Met",OR($K184&lt;VALUE(RIGHT($G184,1)),$L184&lt;&gt;"Yes")),"EVIDENCE BELOW MINIMUM",IF(AND($Q184=1,OR($H184="",$H184="Unknown")),"UNASSESSED",IF(AND($H184="N/A",AND($P184&lt;&gt;"",$O184&lt;&gt;"",IFERROR(VLOOKUP($O184,'Exceptions'!$A$5:$M$204,2,FALSE),"")="N/A determination",IFERROR(VLOOKUP($O184,'Exceptions'!$A$5:$M$204,13,FALSE),"")="Active",IFERROR(ISNUMBER(SEARCH($A184,IFERROR(VLOOKUP($O184,'Exceptions'!$A$5:$M$204,3,FALSE),""))),FALSE))),"N/A APPROVED",IF($O184&lt;&gt;"","EXCEPTION REVIEW","OK")))))))</x:f>
      </x:c>
    </x:row>
    <x:row r="185">
      <x:c r="H185" s="8"/>
      <x:c r="I185" t="str">
        <x:f>IF($A185="","",IF($H185="Met",1,IF($H185="Partially met",0.5,IF(OR($H185="Unmet",$H185="Unknown"),0,""))))</x:f>
      </x:c>
      <x:c r="J185" s="8"/>
      <x:c r="K185" t="str">
        <x:f>IF($A185="","",IF($J185="E4",4,IF($J185="E3",3,IF($J185="E2",2,IF($J185="E1",1,0)))))</x:f>
      </x:c>
      <x:c r="L185" s="8"/>
      <x:c r="M185" s="8"/>
      <x:c r="N185" s="8"/>
      <x:c r="O185" s="8"/>
      <x:c r="P185" s="8"/>
      <x:c r="Q185" t="str">
        <x:f>IF($A185="","",IF($D185="Baseline",1,IF($D185="Elevated",IF(OR('Profile'!$B$11="Elevated",'Profile'!$B$11="Critical"),1,0),IF($D185="Critical",IF('Profile'!$B$11="Critical",1,0),1))))</x:f>
      </x:c>
      <x:c r="R185" t="str">
        <x:f>IF($A185="","",IF($Q185=0,0,IF($H185="N/A",0,IF($H185="Met",IF(AND($K185&gt;=VALUE(RIGHT($G185,1)),$L185="Yes"),1,0),IF($H185="Partially met",IF(AND($K185&gt;=1,$L185="Yes"),0.5,0),0)))))</x:f>
      </x:c>
      <x:c r="S185" t="str">
        <x:f>IF($A185="","",IF($Q185=0,0,IF($H185="N/A",IF(AND($P185&lt;&gt;"",$O185&lt;&gt;"",IFERROR(VLOOKUP($O185,'Exceptions'!$A$5:$M$204,2,FALSE),"")="N/A determination",IFERROR(VLOOKUP($O185,'Exceptions'!$A$5:$M$204,13,FALSE),"")="Active",IFERROR(ISNUMBER(SEARCH($A185,IFERROR(VLOOKUP($O185,'Exceptions'!$A$5:$M$204,3,FALSE),""))),FALSE)),0,1),1)))</x:f>
      </x:c>
      <x:c r="T185" t="str">
        <x:f>IF($A185="","",IF($C185="","",IF($H185="N/A",IF(AND($P185&lt;&gt;"",$O185&lt;&gt;"",IFERROR(VLOOKUP($O185,'Exceptions'!$A$5:$M$204,2,FALSE),"")="N/A determination",IFERROR(VLOOKUP($O185,'Exceptions'!$A$5:$M$204,13,FALSE),"")="Active",IFERROR(ISNUMBER(SEARCH($A185,IFERROR(VLOOKUP($O185,'Exceptions'!$A$5:$M$204,3,FALSE),""))),FALSE)),"N/A","FAIL"),IF(OR($H185="Unknown",$H185="",$K185=0,$L185&lt;&gt;"Yes"),"UNKNOWN",IF($H185="Met",IF($K185&gt;=VALUE(RIGHT($G185,1)),"PASS","UNKNOWN"),IF(OR($H185="Partially met",$H185="Unmet"),"FAIL","UNKNOWN"))))))</x:f>
      </x:c>
      <x:c r="U185" t="str">
        <x:f>IF($A185="","",IF($S185=0,0,IF(AND($K185&gt;=1,$L185="Yes"),1,0)))</x:f>
      </x:c>
      <x:c r="V185" t="str">
        <x:f>IF($A185="","",IF(OR($S185=0,$H185="N/A",$L185&lt;&gt;"Yes"),0,$K185))</x:f>
      </x:c>
      <x:c r="AB185" t="str">
        <x:f>IF($A185="","",IF(AND($Q185=1,$H185="N/A",NOT(AND($P185&lt;&gt;"",$O185&lt;&gt;"",IFERROR(VLOOKUP($O185,'Exceptions'!$A$5:$M$204,2,FALSE),"")="N/A determination",IFERROR(VLOOKUP($O185,'Exceptions'!$A$5:$M$204,13,FALSE),"")="Active",IFERROR(ISNUMBER(SEARCH($A185,IFERROR(VLOOKUP($O185,'Exceptions'!$A$5:$M$204,3,FALSE),""))),FALSE)))),"MISSING OR INVALID N/A DECISION",IF(AND($Q185=1,OR($H185="Partially met",$H185="Unmet"),OR($K185&lt;1,$L185&lt;&gt;"Yes")),"KNOWN RATING NEEDS FRESH E1",IF(AND($Q185=1,$H185="Met",OR($K185&lt;VALUE(RIGHT($G185,1)),$L185&lt;&gt;"Yes")),"EVIDENCE BELOW MINIMUM",IF(AND($Q185=1,OR($H185="",$H185="Unknown")),"UNASSESSED",IF(AND($H185="N/A",AND($P185&lt;&gt;"",$O185&lt;&gt;"",IFERROR(VLOOKUP($O185,'Exceptions'!$A$5:$M$204,2,FALSE),"")="N/A determination",IFERROR(VLOOKUP($O185,'Exceptions'!$A$5:$M$204,13,FALSE),"")="Active",IFERROR(ISNUMBER(SEARCH($A185,IFERROR(VLOOKUP($O185,'Exceptions'!$A$5:$M$204,3,FALSE),""))),FALSE))),"N/A APPROVED",IF($O185&lt;&gt;"","EXCEPTION REVIEW","OK")))))))</x:f>
      </x:c>
    </x:row>
    <x:row r="186">
      <x:c r="H186" s="8"/>
      <x:c r="I186" t="str">
        <x:f>IF($A186="","",IF($H186="Met",1,IF($H186="Partially met",0.5,IF(OR($H186="Unmet",$H186="Unknown"),0,""))))</x:f>
      </x:c>
      <x:c r="J186" s="8"/>
      <x:c r="K186" t="str">
        <x:f>IF($A186="","",IF($J186="E4",4,IF($J186="E3",3,IF($J186="E2",2,IF($J186="E1",1,0)))))</x:f>
      </x:c>
      <x:c r="L186" s="8"/>
      <x:c r="M186" s="8"/>
      <x:c r="N186" s="8"/>
      <x:c r="O186" s="8"/>
      <x:c r="P186" s="8"/>
      <x:c r="Q186" t="str">
        <x:f>IF($A186="","",IF($D186="Baseline",1,IF($D186="Elevated",IF(OR('Profile'!$B$11="Elevated",'Profile'!$B$11="Critical"),1,0),IF($D186="Critical",IF('Profile'!$B$11="Critical",1,0),1))))</x:f>
      </x:c>
      <x:c r="R186" t="str">
        <x:f>IF($A186="","",IF($Q186=0,0,IF($H186="N/A",0,IF($H186="Met",IF(AND($K186&gt;=VALUE(RIGHT($G186,1)),$L186="Yes"),1,0),IF($H186="Partially met",IF(AND($K186&gt;=1,$L186="Yes"),0.5,0),0)))))</x:f>
      </x:c>
      <x:c r="S186" t="str">
        <x:f>IF($A186="","",IF($Q186=0,0,IF($H186="N/A",IF(AND($P186&lt;&gt;"",$O186&lt;&gt;"",IFERROR(VLOOKUP($O186,'Exceptions'!$A$5:$M$204,2,FALSE),"")="N/A determination",IFERROR(VLOOKUP($O186,'Exceptions'!$A$5:$M$204,13,FALSE),"")="Active",IFERROR(ISNUMBER(SEARCH($A186,IFERROR(VLOOKUP($O186,'Exceptions'!$A$5:$M$204,3,FALSE),""))),FALSE)),0,1),1)))</x:f>
      </x:c>
      <x:c r="T186" t="str">
        <x:f>IF($A186="","",IF($C186="","",IF($H186="N/A",IF(AND($P186&lt;&gt;"",$O186&lt;&gt;"",IFERROR(VLOOKUP($O186,'Exceptions'!$A$5:$M$204,2,FALSE),"")="N/A determination",IFERROR(VLOOKUP($O186,'Exceptions'!$A$5:$M$204,13,FALSE),"")="Active",IFERROR(ISNUMBER(SEARCH($A186,IFERROR(VLOOKUP($O186,'Exceptions'!$A$5:$M$204,3,FALSE),""))),FALSE)),"N/A","FAIL"),IF(OR($H186="Unknown",$H186="",$K186=0,$L186&lt;&gt;"Yes"),"UNKNOWN",IF($H186="Met",IF($K186&gt;=VALUE(RIGHT($G186,1)),"PASS","UNKNOWN"),IF(OR($H186="Partially met",$H186="Unmet"),"FAIL","UNKNOWN"))))))</x:f>
      </x:c>
      <x:c r="U186" t="str">
        <x:f>IF($A186="","",IF($S186=0,0,IF(AND($K186&gt;=1,$L186="Yes"),1,0)))</x:f>
      </x:c>
      <x:c r="V186" t="str">
        <x:f>IF($A186="","",IF(OR($S186=0,$H186="N/A",$L186&lt;&gt;"Yes"),0,$K186))</x:f>
      </x:c>
      <x:c r="AB186" t="str">
        <x:f>IF($A186="","",IF(AND($Q186=1,$H186="N/A",NOT(AND($P186&lt;&gt;"",$O186&lt;&gt;"",IFERROR(VLOOKUP($O186,'Exceptions'!$A$5:$M$204,2,FALSE),"")="N/A determination",IFERROR(VLOOKUP($O186,'Exceptions'!$A$5:$M$204,13,FALSE),"")="Active",IFERROR(ISNUMBER(SEARCH($A186,IFERROR(VLOOKUP($O186,'Exceptions'!$A$5:$M$204,3,FALSE),""))),FALSE)))),"MISSING OR INVALID N/A DECISION",IF(AND($Q186=1,OR($H186="Partially met",$H186="Unmet"),OR($K186&lt;1,$L186&lt;&gt;"Yes")),"KNOWN RATING NEEDS FRESH E1",IF(AND($Q186=1,$H186="Met",OR($K186&lt;VALUE(RIGHT($G186,1)),$L186&lt;&gt;"Yes")),"EVIDENCE BELOW MINIMUM",IF(AND($Q186=1,OR($H186="",$H186="Unknown")),"UNASSESSED",IF(AND($H186="N/A",AND($P186&lt;&gt;"",$O186&lt;&gt;"",IFERROR(VLOOKUP($O186,'Exceptions'!$A$5:$M$204,2,FALSE),"")="N/A determination",IFERROR(VLOOKUP($O186,'Exceptions'!$A$5:$M$204,13,FALSE),"")="Active",IFERROR(ISNUMBER(SEARCH($A186,IFERROR(VLOOKUP($O186,'Exceptions'!$A$5:$M$204,3,FALSE),""))),FALSE))),"N/A APPROVED",IF($O186&lt;&gt;"","EXCEPTION REVIEW","OK")))))))</x:f>
      </x:c>
    </x:row>
    <x:row r="187">
      <x:c r="H187" s="8"/>
      <x:c r="I187" t="str">
        <x:f>IF($A187="","",IF($H187="Met",1,IF($H187="Partially met",0.5,IF(OR($H187="Unmet",$H187="Unknown"),0,""))))</x:f>
      </x:c>
      <x:c r="J187" s="8"/>
      <x:c r="K187" t="str">
        <x:f>IF($A187="","",IF($J187="E4",4,IF($J187="E3",3,IF($J187="E2",2,IF($J187="E1",1,0)))))</x:f>
      </x:c>
      <x:c r="L187" s="8"/>
      <x:c r="M187" s="8"/>
      <x:c r="N187" s="8"/>
      <x:c r="O187" s="8"/>
      <x:c r="P187" s="8"/>
      <x:c r="Q187" t="str">
        <x:f>IF($A187="","",IF($D187="Baseline",1,IF($D187="Elevated",IF(OR('Profile'!$B$11="Elevated",'Profile'!$B$11="Critical"),1,0),IF($D187="Critical",IF('Profile'!$B$11="Critical",1,0),1))))</x:f>
      </x:c>
      <x:c r="R187" t="str">
        <x:f>IF($A187="","",IF($Q187=0,0,IF($H187="N/A",0,IF($H187="Met",IF(AND($K187&gt;=VALUE(RIGHT($G187,1)),$L187="Yes"),1,0),IF($H187="Partially met",IF(AND($K187&gt;=1,$L187="Yes"),0.5,0),0)))))</x:f>
      </x:c>
      <x:c r="S187" t="str">
        <x:f>IF($A187="","",IF($Q187=0,0,IF($H187="N/A",IF(AND($P187&lt;&gt;"",$O187&lt;&gt;"",IFERROR(VLOOKUP($O187,'Exceptions'!$A$5:$M$204,2,FALSE),"")="N/A determination",IFERROR(VLOOKUP($O187,'Exceptions'!$A$5:$M$204,13,FALSE),"")="Active",IFERROR(ISNUMBER(SEARCH($A187,IFERROR(VLOOKUP($O187,'Exceptions'!$A$5:$M$204,3,FALSE),""))),FALSE)),0,1),1)))</x:f>
      </x:c>
      <x:c r="T187" t="str">
        <x:f>IF($A187="","",IF($C187="","",IF($H187="N/A",IF(AND($P187&lt;&gt;"",$O187&lt;&gt;"",IFERROR(VLOOKUP($O187,'Exceptions'!$A$5:$M$204,2,FALSE),"")="N/A determination",IFERROR(VLOOKUP($O187,'Exceptions'!$A$5:$M$204,13,FALSE),"")="Active",IFERROR(ISNUMBER(SEARCH($A187,IFERROR(VLOOKUP($O187,'Exceptions'!$A$5:$M$204,3,FALSE),""))),FALSE)),"N/A","FAIL"),IF(OR($H187="Unknown",$H187="",$K187=0,$L187&lt;&gt;"Yes"),"UNKNOWN",IF($H187="Met",IF($K187&gt;=VALUE(RIGHT($G187,1)),"PASS","UNKNOWN"),IF(OR($H187="Partially met",$H187="Unmet"),"FAIL","UNKNOWN"))))))</x:f>
      </x:c>
      <x:c r="U187" t="str">
        <x:f>IF($A187="","",IF($S187=0,0,IF(AND($K187&gt;=1,$L187="Yes"),1,0)))</x:f>
      </x:c>
      <x:c r="V187" t="str">
        <x:f>IF($A187="","",IF(OR($S187=0,$H187="N/A",$L187&lt;&gt;"Yes"),0,$K187))</x:f>
      </x:c>
      <x:c r="AB187" t="str">
        <x:f>IF($A187="","",IF(AND($Q187=1,$H187="N/A",NOT(AND($P187&lt;&gt;"",$O187&lt;&gt;"",IFERROR(VLOOKUP($O187,'Exceptions'!$A$5:$M$204,2,FALSE),"")="N/A determination",IFERROR(VLOOKUP($O187,'Exceptions'!$A$5:$M$204,13,FALSE),"")="Active",IFERROR(ISNUMBER(SEARCH($A187,IFERROR(VLOOKUP($O187,'Exceptions'!$A$5:$M$204,3,FALSE),""))),FALSE)))),"MISSING OR INVALID N/A DECISION",IF(AND($Q187=1,OR($H187="Partially met",$H187="Unmet"),OR($K187&lt;1,$L187&lt;&gt;"Yes")),"KNOWN RATING NEEDS FRESH E1",IF(AND($Q187=1,$H187="Met",OR($K187&lt;VALUE(RIGHT($G187,1)),$L187&lt;&gt;"Yes")),"EVIDENCE BELOW MINIMUM",IF(AND($Q187=1,OR($H187="",$H187="Unknown")),"UNASSESSED",IF(AND($H187="N/A",AND($P187&lt;&gt;"",$O187&lt;&gt;"",IFERROR(VLOOKUP($O187,'Exceptions'!$A$5:$M$204,2,FALSE),"")="N/A determination",IFERROR(VLOOKUP($O187,'Exceptions'!$A$5:$M$204,13,FALSE),"")="Active",IFERROR(ISNUMBER(SEARCH($A187,IFERROR(VLOOKUP($O187,'Exceptions'!$A$5:$M$204,3,FALSE),""))),FALSE))),"N/A APPROVED",IF($O187&lt;&gt;"","EXCEPTION REVIEW","OK")))))))</x:f>
      </x:c>
    </x:row>
    <x:row r="188">
      <x:c r="H188" s="8"/>
      <x:c r="I188" t="str">
        <x:f>IF($A188="","",IF($H188="Met",1,IF($H188="Partially met",0.5,IF(OR($H188="Unmet",$H188="Unknown"),0,""))))</x:f>
      </x:c>
      <x:c r="J188" s="8"/>
      <x:c r="K188" t="str">
        <x:f>IF($A188="","",IF($J188="E4",4,IF($J188="E3",3,IF($J188="E2",2,IF($J188="E1",1,0)))))</x:f>
      </x:c>
      <x:c r="L188" s="8"/>
      <x:c r="M188" s="8"/>
      <x:c r="N188" s="8"/>
      <x:c r="O188" s="8"/>
      <x:c r="P188" s="8"/>
      <x:c r="Q188" t="str">
        <x:f>IF($A188="","",IF($D188="Baseline",1,IF($D188="Elevated",IF(OR('Profile'!$B$11="Elevated",'Profile'!$B$11="Critical"),1,0),IF($D188="Critical",IF('Profile'!$B$11="Critical",1,0),1))))</x:f>
      </x:c>
      <x:c r="R188" t="str">
        <x:f>IF($A188="","",IF($Q188=0,0,IF($H188="N/A",0,IF($H188="Met",IF(AND($K188&gt;=VALUE(RIGHT($G188,1)),$L188="Yes"),1,0),IF($H188="Partially met",IF(AND($K188&gt;=1,$L188="Yes"),0.5,0),0)))))</x:f>
      </x:c>
      <x:c r="S188" t="str">
        <x:f>IF($A188="","",IF($Q188=0,0,IF($H188="N/A",IF(AND($P188&lt;&gt;"",$O188&lt;&gt;"",IFERROR(VLOOKUP($O188,'Exceptions'!$A$5:$M$204,2,FALSE),"")="N/A determination",IFERROR(VLOOKUP($O188,'Exceptions'!$A$5:$M$204,13,FALSE),"")="Active",IFERROR(ISNUMBER(SEARCH($A188,IFERROR(VLOOKUP($O188,'Exceptions'!$A$5:$M$204,3,FALSE),""))),FALSE)),0,1),1)))</x:f>
      </x:c>
      <x:c r="T188" t="str">
        <x:f>IF($A188="","",IF($C188="","",IF($H188="N/A",IF(AND($P188&lt;&gt;"",$O188&lt;&gt;"",IFERROR(VLOOKUP($O188,'Exceptions'!$A$5:$M$204,2,FALSE),"")="N/A determination",IFERROR(VLOOKUP($O188,'Exceptions'!$A$5:$M$204,13,FALSE),"")="Active",IFERROR(ISNUMBER(SEARCH($A188,IFERROR(VLOOKUP($O188,'Exceptions'!$A$5:$M$204,3,FALSE),""))),FALSE)),"N/A","FAIL"),IF(OR($H188="Unknown",$H188="",$K188=0,$L188&lt;&gt;"Yes"),"UNKNOWN",IF($H188="Met",IF($K188&gt;=VALUE(RIGHT($G188,1)),"PASS","UNKNOWN"),IF(OR($H188="Partially met",$H188="Unmet"),"FAIL","UNKNOWN"))))))</x:f>
      </x:c>
      <x:c r="U188" t="str">
        <x:f>IF($A188="","",IF($S188=0,0,IF(AND($K188&gt;=1,$L188="Yes"),1,0)))</x:f>
      </x:c>
      <x:c r="V188" t="str">
        <x:f>IF($A188="","",IF(OR($S188=0,$H188="N/A",$L188&lt;&gt;"Yes"),0,$K188))</x:f>
      </x:c>
      <x:c r="AB188" t="str">
        <x:f>IF($A188="","",IF(AND($Q188=1,$H188="N/A",NOT(AND($P188&lt;&gt;"",$O188&lt;&gt;"",IFERROR(VLOOKUP($O188,'Exceptions'!$A$5:$M$204,2,FALSE),"")="N/A determination",IFERROR(VLOOKUP($O188,'Exceptions'!$A$5:$M$204,13,FALSE),"")="Active",IFERROR(ISNUMBER(SEARCH($A188,IFERROR(VLOOKUP($O188,'Exceptions'!$A$5:$M$204,3,FALSE),""))),FALSE)))),"MISSING OR INVALID N/A DECISION",IF(AND($Q188=1,OR($H188="Partially met",$H188="Unmet"),OR($K188&lt;1,$L188&lt;&gt;"Yes")),"KNOWN RATING NEEDS FRESH E1",IF(AND($Q188=1,$H188="Met",OR($K188&lt;VALUE(RIGHT($G188,1)),$L188&lt;&gt;"Yes")),"EVIDENCE BELOW MINIMUM",IF(AND($Q188=1,OR($H188="",$H188="Unknown")),"UNASSESSED",IF(AND($H188="N/A",AND($P188&lt;&gt;"",$O188&lt;&gt;"",IFERROR(VLOOKUP($O188,'Exceptions'!$A$5:$M$204,2,FALSE),"")="N/A determination",IFERROR(VLOOKUP($O188,'Exceptions'!$A$5:$M$204,13,FALSE),"")="Active",IFERROR(ISNUMBER(SEARCH($A188,IFERROR(VLOOKUP($O188,'Exceptions'!$A$5:$M$204,3,FALSE),""))),FALSE))),"N/A APPROVED",IF($O188&lt;&gt;"","EXCEPTION REVIEW","OK")))))))</x:f>
      </x:c>
    </x:row>
    <x:row r="189">
      <x:c r="H189" s="8"/>
      <x:c r="I189" t="str">
        <x:f>IF($A189="","",IF($H189="Met",1,IF($H189="Partially met",0.5,IF(OR($H189="Unmet",$H189="Unknown"),0,""))))</x:f>
      </x:c>
      <x:c r="J189" s="8"/>
      <x:c r="K189" t="str">
        <x:f>IF($A189="","",IF($J189="E4",4,IF($J189="E3",3,IF($J189="E2",2,IF($J189="E1",1,0)))))</x:f>
      </x:c>
      <x:c r="L189" s="8"/>
      <x:c r="M189" s="8"/>
      <x:c r="N189" s="8"/>
      <x:c r="O189" s="8"/>
      <x:c r="P189" s="8"/>
      <x:c r="Q189" t="str">
        <x:f>IF($A189="","",IF($D189="Baseline",1,IF($D189="Elevated",IF(OR('Profile'!$B$11="Elevated",'Profile'!$B$11="Critical"),1,0),IF($D189="Critical",IF('Profile'!$B$11="Critical",1,0),1))))</x:f>
      </x:c>
      <x:c r="R189" t="str">
        <x:f>IF($A189="","",IF($Q189=0,0,IF($H189="N/A",0,IF($H189="Met",IF(AND($K189&gt;=VALUE(RIGHT($G189,1)),$L189="Yes"),1,0),IF($H189="Partially met",IF(AND($K189&gt;=1,$L189="Yes"),0.5,0),0)))))</x:f>
      </x:c>
      <x:c r="S189" t="str">
        <x:f>IF($A189="","",IF($Q189=0,0,IF($H189="N/A",IF(AND($P189&lt;&gt;"",$O189&lt;&gt;"",IFERROR(VLOOKUP($O189,'Exceptions'!$A$5:$M$204,2,FALSE),"")="N/A determination",IFERROR(VLOOKUP($O189,'Exceptions'!$A$5:$M$204,13,FALSE),"")="Active",IFERROR(ISNUMBER(SEARCH($A189,IFERROR(VLOOKUP($O189,'Exceptions'!$A$5:$M$204,3,FALSE),""))),FALSE)),0,1),1)))</x:f>
      </x:c>
      <x:c r="T189" t="str">
        <x:f>IF($A189="","",IF($C189="","",IF($H189="N/A",IF(AND($P189&lt;&gt;"",$O189&lt;&gt;"",IFERROR(VLOOKUP($O189,'Exceptions'!$A$5:$M$204,2,FALSE),"")="N/A determination",IFERROR(VLOOKUP($O189,'Exceptions'!$A$5:$M$204,13,FALSE),"")="Active",IFERROR(ISNUMBER(SEARCH($A189,IFERROR(VLOOKUP($O189,'Exceptions'!$A$5:$M$204,3,FALSE),""))),FALSE)),"N/A","FAIL"),IF(OR($H189="Unknown",$H189="",$K189=0,$L189&lt;&gt;"Yes"),"UNKNOWN",IF($H189="Met",IF($K189&gt;=VALUE(RIGHT($G189,1)),"PASS","UNKNOWN"),IF(OR($H189="Partially met",$H189="Unmet"),"FAIL","UNKNOWN"))))))</x:f>
      </x:c>
      <x:c r="U189" t="str">
        <x:f>IF($A189="","",IF($S189=0,0,IF(AND($K189&gt;=1,$L189="Yes"),1,0)))</x:f>
      </x:c>
      <x:c r="V189" t="str">
        <x:f>IF($A189="","",IF(OR($S189=0,$H189="N/A",$L189&lt;&gt;"Yes"),0,$K189))</x:f>
      </x:c>
      <x:c r="AB189" t="str">
        <x:f>IF($A189="","",IF(AND($Q189=1,$H189="N/A",NOT(AND($P189&lt;&gt;"",$O189&lt;&gt;"",IFERROR(VLOOKUP($O189,'Exceptions'!$A$5:$M$204,2,FALSE),"")="N/A determination",IFERROR(VLOOKUP($O189,'Exceptions'!$A$5:$M$204,13,FALSE),"")="Active",IFERROR(ISNUMBER(SEARCH($A189,IFERROR(VLOOKUP($O189,'Exceptions'!$A$5:$M$204,3,FALSE),""))),FALSE)))),"MISSING OR INVALID N/A DECISION",IF(AND($Q189=1,OR($H189="Partially met",$H189="Unmet"),OR($K189&lt;1,$L189&lt;&gt;"Yes")),"KNOWN RATING NEEDS FRESH E1",IF(AND($Q189=1,$H189="Met",OR($K189&lt;VALUE(RIGHT($G189,1)),$L189&lt;&gt;"Yes")),"EVIDENCE BELOW MINIMUM",IF(AND($Q189=1,OR($H189="",$H189="Unknown")),"UNASSESSED",IF(AND($H189="N/A",AND($P189&lt;&gt;"",$O189&lt;&gt;"",IFERROR(VLOOKUP($O189,'Exceptions'!$A$5:$M$204,2,FALSE),"")="N/A determination",IFERROR(VLOOKUP($O189,'Exceptions'!$A$5:$M$204,13,FALSE),"")="Active",IFERROR(ISNUMBER(SEARCH($A189,IFERROR(VLOOKUP($O189,'Exceptions'!$A$5:$M$204,3,FALSE),""))),FALSE))),"N/A APPROVED",IF($O189&lt;&gt;"","EXCEPTION REVIEW","OK")))))))</x:f>
      </x:c>
    </x:row>
    <x:row r="190">
      <x:c r="H190" s="8"/>
      <x:c r="I190" t="str">
        <x:f>IF($A190="","",IF($H190="Met",1,IF($H190="Partially met",0.5,IF(OR($H190="Unmet",$H190="Unknown"),0,""))))</x:f>
      </x:c>
      <x:c r="J190" s="8"/>
      <x:c r="K190" t="str">
        <x:f>IF($A190="","",IF($J190="E4",4,IF($J190="E3",3,IF($J190="E2",2,IF($J190="E1",1,0)))))</x:f>
      </x:c>
      <x:c r="L190" s="8"/>
      <x:c r="M190" s="8"/>
      <x:c r="N190" s="8"/>
      <x:c r="O190" s="8"/>
      <x:c r="P190" s="8"/>
      <x:c r="Q190" t="str">
        <x:f>IF($A190="","",IF($D190="Baseline",1,IF($D190="Elevated",IF(OR('Profile'!$B$11="Elevated",'Profile'!$B$11="Critical"),1,0),IF($D190="Critical",IF('Profile'!$B$11="Critical",1,0),1))))</x:f>
      </x:c>
      <x:c r="R190" t="str">
        <x:f>IF($A190="","",IF($Q190=0,0,IF($H190="N/A",0,IF($H190="Met",IF(AND($K190&gt;=VALUE(RIGHT($G190,1)),$L190="Yes"),1,0),IF($H190="Partially met",IF(AND($K190&gt;=1,$L190="Yes"),0.5,0),0)))))</x:f>
      </x:c>
      <x:c r="S190" t="str">
        <x:f>IF($A190="","",IF($Q190=0,0,IF($H190="N/A",IF(AND($P190&lt;&gt;"",$O190&lt;&gt;"",IFERROR(VLOOKUP($O190,'Exceptions'!$A$5:$M$204,2,FALSE),"")="N/A determination",IFERROR(VLOOKUP($O190,'Exceptions'!$A$5:$M$204,13,FALSE),"")="Active",IFERROR(ISNUMBER(SEARCH($A190,IFERROR(VLOOKUP($O190,'Exceptions'!$A$5:$M$204,3,FALSE),""))),FALSE)),0,1),1)))</x:f>
      </x:c>
      <x:c r="T190" t="str">
        <x:f>IF($A190="","",IF($C190="","",IF($H190="N/A",IF(AND($P190&lt;&gt;"",$O190&lt;&gt;"",IFERROR(VLOOKUP($O190,'Exceptions'!$A$5:$M$204,2,FALSE),"")="N/A determination",IFERROR(VLOOKUP($O190,'Exceptions'!$A$5:$M$204,13,FALSE),"")="Active",IFERROR(ISNUMBER(SEARCH($A190,IFERROR(VLOOKUP($O190,'Exceptions'!$A$5:$M$204,3,FALSE),""))),FALSE)),"N/A","FAIL"),IF(OR($H190="Unknown",$H190="",$K190=0,$L190&lt;&gt;"Yes"),"UNKNOWN",IF($H190="Met",IF($K190&gt;=VALUE(RIGHT($G190,1)),"PASS","UNKNOWN"),IF(OR($H190="Partially met",$H190="Unmet"),"FAIL","UNKNOWN"))))))</x:f>
      </x:c>
      <x:c r="U190" t="str">
        <x:f>IF($A190="","",IF($S190=0,0,IF(AND($K190&gt;=1,$L190="Yes"),1,0)))</x:f>
      </x:c>
      <x:c r="V190" t="str">
        <x:f>IF($A190="","",IF(OR($S190=0,$H190="N/A",$L190&lt;&gt;"Yes"),0,$K190))</x:f>
      </x:c>
      <x:c r="AB190" t="str">
        <x:f>IF($A190="","",IF(AND($Q190=1,$H190="N/A",NOT(AND($P190&lt;&gt;"",$O190&lt;&gt;"",IFERROR(VLOOKUP($O190,'Exceptions'!$A$5:$M$204,2,FALSE),"")="N/A determination",IFERROR(VLOOKUP($O190,'Exceptions'!$A$5:$M$204,13,FALSE),"")="Active",IFERROR(ISNUMBER(SEARCH($A190,IFERROR(VLOOKUP($O190,'Exceptions'!$A$5:$M$204,3,FALSE),""))),FALSE)))),"MISSING OR INVALID N/A DECISION",IF(AND($Q190=1,OR($H190="Partially met",$H190="Unmet"),OR($K190&lt;1,$L190&lt;&gt;"Yes")),"KNOWN RATING NEEDS FRESH E1",IF(AND($Q190=1,$H190="Met",OR($K190&lt;VALUE(RIGHT($G190,1)),$L190&lt;&gt;"Yes")),"EVIDENCE BELOW MINIMUM",IF(AND($Q190=1,OR($H190="",$H190="Unknown")),"UNASSESSED",IF(AND($H190="N/A",AND($P190&lt;&gt;"",$O190&lt;&gt;"",IFERROR(VLOOKUP($O190,'Exceptions'!$A$5:$M$204,2,FALSE),"")="N/A determination",IFERROR(VLOOKUP($O190,'Exceptions'!$A$5:$M$204,13,FALSE),"")="Active",IFERROR(ISNUMBER(SEARCH($A190,IFERROR(VLOOKUP($O190,'Exceptions'!$A$5:$M$204,3,FALSE),""))),FALSE))),"N/A APPROVED",IF($O190&lt;&gt;"","EXCEPTION REVIEW","OK")))))))</x:f>
      </x:c>
    </x:row>
    <x:row r="191">
      <x:c r="H191" s="8"/>
      <x:c r="I191" t="str">
        <x:f>IF($A191="","",IF($H191="Met",1,IF($H191="Partially met",0.5,IF(OR($H191="Unmet",$H191="Unknown"),0,""))))</x:f>
      </x:c>
      <x:c r="J191" s="8"/>
      <x:c r="K191" t="str">
        <x:f>IF($A191="","",IF($J191="E4",4,IF($J191="E3",3,IF($J191="E2",2,IF($J191="E1",1,0)))))</x:f>
      </x:c>
      <x:c r="L191" s="8"/>
      <x:c r="M191" s="8"/>
      <x:c r="N191" s="8"/>
      <x:c r="O191" s="8"/>
      <x:c r="P191" s="8"/>
      <x:c r="Q191" t="str">
        <x:f>IF($A191="","",IF($D191="Baseline",1,IF($D191="Elevated",IF(OR('Profile'!$B$11="Elevated",'Profile'!$B$11="Critical"),1,0),IF($D191="Critical",IF('Profile'!$B$11="Critical",1,0),1))))</x:f>
      </x:c>
      <x:c r="R191" t="str">
        <x:f>IF($A191="","",IF($Q191=0,0,IF($H191="N/A",0,IF($H191="Met",IF(AND($K191&gt;=VALUE(RIGHT($G191,1)),$L191="Yes"),1,0),IF($H191="Partially met",IF(AND($K191&gt;=1,$L191="Yes"),0.5,0),0)))))</x:f>
      </x:c>
      <x:c r="S191" t="str">
        <x:f>IF($A191="","",IF($Q191=0,0,IF($H191="N/A",IF(AND($P191&lt;&gt;"",$O191&lt;&gt;"",IFERROR(VLOOKUP($O191,'Exceptions'!$A$5:$M$204,2,FALSE),"")="N/A determination",IFERROR(VLOOKUP($O191,'Exceptions'!$A$5:$M$204,13,FALSE),"")="Active",IFERROR(ISNUMBER(SEARCH($A191,IFERROR(VLOOKUP($O191,'Exceptions'!$A$5:$M$204,3,FALSE),""))),FALSE)),0,1),1)))</x:f>
      </x:c>
      <x:c r="T191" t="str">
        <x:f>IF($A191="","",IF($C191="","",IF($H191="N/A",IF(AND($P191&lt;&gt;"",$O191&lt;&gt;"",IFERROR(VLOOKUP($O191,'Exceptions'!$A$5:$M$204,2,FALSE),"")="N/A determination",IFERROR(VLOOKUP($O191,'Exceptions'!$A$5:$M$204,13,FALSE),"")="Active",IFERROR(ISNUMBER(SEARCH($A191,IFERROR(VLOOKUP($O191,'Exceptions'!$A$5:$M$204,3,FALSE),""))),FALSE)),"N/A","FAIL"),IF(OR($H191="Unknown",$H191="",$K191=0,$L191&lt;&gt;"Yes"),"UNKNOWN",IF($H191="Met",IF($K191&gt;=VALUE(RIGHT($G191,1)),"PASS","UNKNOWN"),IF(OR($H191="Partially met",$H191="Unmet"),"FAIL","UNKNOWN"))))))</x:f>
      </x:c>
      <x:c r="U191" t="str">
        <x:f>IF($A191="","",IF($S191=0,0,IF(AND($K191&gt;=1,$L191="Yes"),1,0)))</x:f>
      </x:c>
      <x:c r="V191" t="str">
        <x:f>IF($A191="","",IF(OR($S191=0,$H191="N/A",$L191&lt;&gt;"Yes"),0,$K191))</x:f>
      </x:c>
      <x:c r="AB191" t="str">
        <x:f>IF($A191="","",IF(AND($Q191=1,$H191="N/A",NOT(AND($P191&lt;&gt;"",$O191&lt;&gt;"",IFERROR(VLOOKUP($O191,'Exceptions'!$A$5:$M$204,2,FALSE),"")="N/A determination",IFERROR(VLOOKUP($O191,'Exceptions'!$A$5:$M$204,13,FALSE),"")="Active",IFERROR(ISNUMBER(SEARCH($A191,IFERROR(VLOOKUP($O191,'Exceptions'!$A$5:$M$204,3,FALSE),""))),FALSE)))),"MISSING OR INVALID N/A DECISION",IF(AND($Q191=1,OR($H191="Partially met",$H191="Unmet"),OR($K191&lt;1,$L191&lt;&gt;"Yes")),"KNOWN RATING NEEDS FRESH E1",IF(AND($Q191=1,$H191="Met",OR($K191&lt;VALUE(RIGHT($G191,1)),$L191&lt;&gt;"Yes")),"EVIDENCE BELOW MINIMUM",IF(AND($Q191=1,OR($H191="",$H191="Unknown")),"UNASSESSED",IF(AND($H191="N/A",AND($P191&lt;&gt;"",$O191&lt;&gt;"",IFERROR(VLOOKUP($O191,'Exceptions'!$A$5:$M$204,2,FALSE),"")="N/A determination",IFERROR(VLOOKUP($O191,'Exceptions'!$A$5:$M$204,13,FALSE),"")="Active",IFERROR(ISNUMBER(SEARCH($A191,IFERROR(VLOOKUP($O191,'Exceptions'!$A$5:$M$204,3,FALSE),""))),FALSE))),"N/A APPROVED",IF($O191&lt;&gt;"","EXCEPTION REVIEW","OK")))))))</x:f>
      </x:c>
    </x:row>
    <x:row r="192">
      <x:c r="H192" s="8"/>
      <x:c r="I192" t="str">
        <x:f>IF($A192="","",IF($H192="Met",1,IF($H192="Partially met",0.5,IF(OR($H192="Unmet",$H192="Unknown"),0,""))))</x:f>
      </x:c>
      <x:c r="J192" s="8"/>
      <x:c r="K192" t="str">
        <x:f>IF($A192="","",IF($J192="E4",4,IF($J192="E3",3,IF($J192="E2",2,IF($J192="E1",1,0)))))</x:f>
      </x:c>
      <x:c r="L192" s="8"/>
      <x:c r="M192" s="8"/>
      <x:c r="N192" s="8"/>
      <x:c r="O192" s="8"/>
      <x:c r="P192" s="8"/>
      <x:c r="Q192" t="str">
        <x:f>IF($A192="","",IF($D192="Baseline",1,IF($D192="Elevated",IF(OR('Profile'!$B$11="Elevated",'Profile'!$B$11="Critical"),1,0),IF($D192="Critical",IF('Profile'!$B$11="Critical",1,0),1))))</x:f>
      </x:c>
      <x:c r="R192" t="str">
        <x:f>IF($A192="","",IF($Q192=0,0,IF($H192="N/A",0,IF($H192="Met",IF(AND($K192&gt;=VALUE(RIGHT($G192,1)),$L192="Yes"),1,0),IF($H192="Partially met",IF(AND($K192&gt;=1,$L192="Yes"),0.5,0),0)))))</x:f>
      </x:c>
      <x:c r="S192" t="str">
        <x:f>IF($A192="","",IF($Q192=0,0,IF($H192="N/A",IF(AND($P192&lt;&gt;"",$O192&lt;&gt;"",IFERROR(VLOOKUP($O192,'Exceptions'!$A$5:$M$204,2,FALSE),"")="N/A determination",IFERROR(VLOOKUP($O192,'Exceptions'!$A$5:$M$204,13,FALSE),"")="Active",IFERROR(ISNUMBER(SEARCH($A192,IFERROR(VLOOKUP($O192,'Exceptions'!$A$5:$M$204,3,FALSE),""))),FALSE)),0,1),1)))</x:f>
      </x:c>
      <x:c r="T192" t="str">
        <x:f>IF($A192="","",IF($C192="","",IF($H192="N/A",IF(AND($P192&lt;&gt;"",$O192&lt;&gt;"",IFERROR(VLOOKUP($O192,'Exceptions'!$A$5:$M$204,2,FALSE),"")="N/A determination",IFERROR(VLOOKUP($O192,'Exceptions'!$A$5:$M$204,13,FALSE),"")="Active",IFERROR(ISNUMBER(SEARCH($A192,IFERROR(VLOOKUP($O192,'Exceptions'!$A$5:$M$204,3,FALSE),""))),FALSE)),"N/A","FAIL"),IF(OR($H192="Unknown",$H192="",$K192=0,$L192&lt;&gt;"Yes"),"UNKNOWN",IF($H192="Met",IF($K192&gt;=VALUE(RIGHT($G192,1)),"PASS","UNKNOWN"),IF(OR($H192="Partially met",$H192="Unmet"),"FAIL","UNKNOWN"))))))</x:f>
      </x:c>
      <x:c r="U192" t="str">
        <x:f>IF($A192="","",IF($S192=0,0,IF(AND($K192&gt;=1,$L192="Yes"),1,0)))</x:f>
      </x:c>
      <x:c r="V192" t="str">
        <x:f>IF($A192="","",IF(OR($S192=0,$H192="N/A",$L192&lt;&gt;"Yes"),0,$K192))</x:f>
      </x:c>
      <x:c r="AB192" t="str">
        <x:f>IF($A192="","",IF(AND($Q192=1,$H192="N/A",NOT(AND($P192&lt;&gt;"",$O192&lt;&gt;"",IFERROR(VLOOKUP($O192,'Exceptions'!$A$5:$M$204,2,FALSE),"")="N/A determination",IFERROR(VLOOKUP($O192,'Exceptions'!$A$5:$M$204,13,FALSE),"")="Active",IFERROR(ISNUMBER(SEARCH($A192,IFERROR(VLOOKUP($O192,'Exceptions'!$A$5:$M$204,3,FALSE),""))),FALSE)))),"MISSING OR INVALID N/A DECISION",IF(AND($Q192=1,OR($H192="Partially met",$H192="Unmet"),OR($K192&lt;1,$L192&lt;&gt;"Yes")),"KNOWN RATING NEEDS FRESH E1",IF(AND($Q192=1,$H192="Met",OR($K192&lt;VALUE(RIGHT($G192,1)),$L192&lt;&gt;"Yes")),"EVIDENCE BELOW MINIMUM",IF(AND($Q192=1,OR($H192="",$H192="Unknown")),"UNASSESSED",IF(AND($H192="N/A",AND($P192&lt;&gt;"",$O192&lt;&gt;"",IFERROR(VLOOKUP($O192,'Exceptions'!$A$5:$M$204,2,FALSE),"")="N/A determination",IFERROR(VLOOKUP($O192,'Exceptions'!$A$5:$M$204,13,FALSE),"")="Active",IFERROR(ISNUMBER(SEARCH($A192,IFERROR(VLOOKUP($O192,'Exceptions'!$A$5:$M$204,3,FALSE),""))),FALSE))),"N/A APPROVED",IF($O192&lt;&gt;"","EXCEPTION REVIEW","OK")))))))</x:f>
      </x:c>
    </x:row>
    <x:row r="193">
      <x:c r="H193" s="8"/>
      <x:c r="I193" t="str">
        <x:f>IF($A193="","",IF($H193="Met",1,IF($H193="Partially met",0.5,IF(OR($H193="Unmet",$H193="Unknown"),0,""))))</x:f>
      </x:c>
      <x:c r="J193" s="8"/>
      <x:c r="K193" t="str">
        <x:f>IF($A193="","",IF($J193="E4",4,IF($J193="E3",3,IF($J193="E2",2,IF($J193="E1",1,0)))))</x:f>
      </x:c>
      <x:c r="L193" s="8"/>
      <x:c r="M193" s="8"/>
      <x:c r="N193" s="8"/>
      <x:c r="O193" s="8"/>
      <x:c r="P193" s="8"/>
      <x:c r="Q193" t="str">
        <x:f>IF($A193="","",IF($D193="Baseline",1,IF($D193="Elevated",IF(OR('Profile'!$B$11="Elevated",'Profile'!$B$11="Critical"),1,0),IF($D193="Critical",IF('Profile'!$B$11="Critical",1,0),1))))</x:f>
      </x:c>
      <x:c r="R193" t="str">
        <x:f>IF($A193="","",IF($Q193=0,0,IF($H193="N/A",0,IF($H193="Met",IF(AND($K193&gt;=VALUE(RIGHT($G193,1)),$L193="Yes"),1,0),IF($H193="Partially met",IF(AND($K193&gt;=1,$L193="Yes"),0.5,0),0)))))</x:f>
      </x:c>
      <x:c r="S193" t="str">
        <x:f>IF($A193="","",IF($Q193=0,0,IF($H193="N/A",IF(AND($P193&lt;&gt;"",$O193&lt;&gt;"",IFERROR(VLOOKUP($O193,'Exceptions'!$A$5:$M$204,2,FALSE),"")="N/A determination",IFERROR(VLOOKUP($O193,'Exceptions'!$A$5:$M$204,13,FALSE),"")="Active",IFERROR(ISNUMBER(SEARCH($A193,IFERROR(VLOOKUP($O193,'Exceptions'!$A$5:$M$204,3,FALSE),""))),FALSE)),0,1),1)))</x:f>
      </x:c>
      <x:c r="T193" t="str">
        <x:f>IF($A193="","",IF($C193="","",IF($H193="N/A",IF(AND($P193&lt;&gt;"",$O193&lt;&gt;"",IFERROR(VLOOKUP($O193,'Exceptions'!$A$5:$M$204,2,FALSE),"")="N/A determination",IFERROR(VLOOKUP($O193,'Exceptions'!$A$5:$M$204,13,FALSE),"")="Active",IFERROR(ISNUMBER(SEARCH($A193,IFERROR(VLOOKUP($O193,'Exceptions'!$A$5:$M$204,3,FALSE),""))),FALSE)),"N/A","FAIL"),IF(OR($H193="Unknown",$H193="",$K193=0,$L193&lt;&gt;"Yes"),"UNKNOWN",IF($H193="Met",IF($K193&gt;=VALUE(RIGHT($G193,1)),"PASS","UNKNOWN"),IF(OR($H193="Partially met",$H193="Unmet"),"FAIL","UNKNOWN"))))))</x:f>
      </x:c>
      <x:c r="U193" t="str">
        <x:f>IF($A193="","",IF($S193=0,0,IF(AND($K193&gt;=1,$L193="Yes"),1,0)))</x:f>
      </x:c>
      <x:c r="V193" t="str">
        <x:f>IF($A193="","",IF(OR($S193=0,$H193="N/A",$L193&lt;&gt;"Yes"),0,$K193))</x:f>
      </x:c>
      <x:c r="AB193" t="str">
        <x:f>IF($A193="","",IF(AND($Q193=1,$H193="N/A",NOT(AND($P193&lt;&gt;"",$O193&lt;&gt;"",IFERROR(VLOOKUP($O193,'Exceptions'!$A$5:$M$204,2,FALSE),"")="N/A determination",IFERROR(VLOOKUP($O193,'Exceptions'!$A$5:$M$204,13,FALSE),"")="Active",IFERROR(ISNUMBER(SEARCH($A193,IFERROR(VLOOKUP($O193,'Exceptions'!$A$5:$M$204,3,FALSE),""))),FALSE)))),"MISSING OR INVALID N/A DECISION",IF(AND($Q193=1,OR($H193="Partially met",$H193="Unmet"),OR($K193&lt;1,$L193&lt;&gt;"Yes")),"KNOWN RATING NEEDS FRESH E1",IF(AND($Q193=1,$H193="Met",OR($K193&lt;VALUE(RIGHT($G193,1)),$L193&lt;&gt;"Yes")),"EVIDENCE BELOW MINIMUM",IF(AND($Q193=1,OR($H193="",$H193="Unknown")),"UNASSESSED",IF(AND($H193="N/A",AND($P193&lt;&gt;"",$O193&lt;&gt;"",IFERROR(VLOOKUP($O193,'Exceptions'!$A$5:$M$204,2,FALSE),"")="N/A determination",IFERROR(VLOOKUP($O193,'Exceptions'!$A$5:$M$204,13,FALSE),"")="Active",IFERROR(ISNUMBER(SEARCH($A193,IFERROR(VLOOKUP($O193,'Exceptions'!$A$5:$M$204,3,FALSE),""))),FALSE))),"N/A APPROVED",IF($O193&lt;&gt;"","EXCEPTION REVIEW","OK")))))))</x:f>
      </x:c>
    </x:row>
    <x:row r="194">
      <x:c r="H194" s="8"/>
      <x:c r="I194" t="str">
        <x:f>IF($A194="","",IF($H194="Met",1,IF($H194="Partially met",0.5,IF(OR($H194="Unmet",$H194="Unknown"),0,""))))</x:f>
      </x:c>
      <x:c r="J194" s="8"/>
      <x:c r="K194" t="str">
        <x:f>IF($A194="","",IF($J194="E4",4,IF($J194="E3",3,IF($J194="E2",2,IF($J194="E1",1,0)))))</x:f>
      </x:c>
      <x:c r="L194" s="8"/>
      <x:c r="M194" s="8"/>
      <x:c r="N194" s="8"/>
      <x:c r="O194" s="8"/>
      <x:c r="P194" s="8"/>
      <x:c r="Q194" t="str">
        <x:f>IF($A194="","",IF($D194="Baseline",1,IF($D194="Elevated",IF(OR('Profile'!$B$11="Elevated",'Profile'!$B$11="Critical"),1,0),IF($D194="Critical",IF('Profile'!$B$11="Critical",1,0),1))))</x:f>
      </x:c>
      <x:c r="R194" t="str">
        <x:f>IF($A194="","",IF($Q194=0,0,IF($H194="N/A",0,IF($H194="Met",IF(AND($K194&gt;=VALUE(RIGHT($G194,1)),$L194="Yes"),1,0),IF($H194="Partially met",IF(AND($K194&gt;=1,$L194="Yes"),0.5,0),0)))))</x:f>
      </x:c>
      <x:c r="S194" t="str">
        <x:f>IF($A194="","",IF($Q194=0,0,IF($H194="N/A",IF(AND($P194&lt;&gt;"",$O194&lt;&gt;"",IFERROR(VLOOKUP($O194,'Exceptions'!$A$5:$M$204,2,FALSE),"")="N/A determination",IFERROR(VLOOKUP($O194,'Exceptions'!$A$5:$M$204,13,FALSE),"")="Active",IFERROR(ISNUMBER(SEARCH($A194,IFERROR(VLOOKUP($O194,'Exceptions'!$A$5:$M$204,3,FALSE),""))),FALSE)),0,1),1)))</x:f>
      </x:c>
      <x:c r="T194" t="str">
        <x:f>IF($A194="","",IF($C194="","",IF($H194="N/A",IF(AND($P194&lt;&gt;"",$O194&lt;&gt;"",IFERROR(VLOOKUP($O194,'Exceptions'!$A$5:$M$204,2,FALSE),"")="N/A determination",IFERROR(VLOOKUP($O194,'Exceptions'!$A$5:$M$204,13,FALSE),"")="Active",IFERROR(ISNUMBER(SEARCH($A194,IFERROR(VLOOKUP($O194,'Exceptions'!$A$5:$M$204,3,FALSE),""))),FALSE)),"N/A","FAIL"),IF(OR($H194="Unknown",$H194="",$K194=0,$L194&lt;&gt;"Yes"),"UNKNOWN",IF($H194="Met",IF($K194&gt;=VALUE(RIGHT($G194,1)),"PASS","UNKNOWN"),IF(OR($H194="Partially met",$H194="Unmet"),"FAIL","UNKNOWN"))))))</x:f>
      </x:c>
      <x:c r="U194" t="str">
        <x:f>IF($A194="","",IF($S194=0,0,IF(AND($K194&gt;=1,$L194="Yes"),1,0)))</x:f>
      </x:c>
      <x:c r="V194" t="str">
        <x:f>IF($A194="","",IF(OR($S194=0,$H194="N/A",$L194&lt;&gt;"Yes"),0,$K194))</x:f>
      </x:c>
      <x:c r="AB194" t="str">
        <x:f>IF($A194="","",IF(AND($Q194=1,$H194="N/A",NOT(AND($P194&lt;&gt;"",$O194&lt;&gt;"",IFERROR(VLOOKUP($O194,'Exceptions'!$A$5:$M$204,2,FALSE),"")="N/A determination",IFERROR(VLOOKUP($O194,'Exceptions'!$A$5:$M$204,13,FALSE),"")="Active",IFERROR(ISNUMBER(SEARCH($A194,IFERROR(VLOOKUP($O194,'Exceptions'!$A$5:$M$204,3,FALSE),""))),FALSE)))),"MISSING OR INVALID N/A DECISION",IF(AND($Q194=1,OR($H194="Partially met",$H194="Unmet"),OR($K194&lt;1,$L194&lt;&gt;"Yes")),"KNOWN RATING NEEDS FRESH E1",IF(AND($Q194=1,$H194="Met",OR($K194&lt;VALUE(RIGHT($G194,1)),$L194&lt;&gt;"Yes")),"EVIDENCE BELOW MINIMUM",IF(AND($Q194=1,OR($H194="",$H194="Unknown")),"UNASSESSED",IF(AND($H194="N/A",AND($P194&lt;&gt;"",$O194&lt;&gt;"",IFERROR(VLOOKUP($O194,'Exceptions'!$A$5:$M$204,2,FALSE),"")="N/A determination",IFERROR(VLOOKUP($O194,'Exceptions'!$A$5:$M$204,13,FALSE),"")="Active",IFERROR(ISNUMBER(SEARCH($A194,IFERROR(VLOOKUP($O194,'Exceptions'!$A$5:$M$204,3,FALSE),""))),FALSE))),"N/A APPROVED",IF($O194&lt;&gt;"","EXCEPTION REVIEW","OK")))))))</x:f>
      </x:c>
    </x:row>
    <x:row r="195">
      <x:c r="H195" s="8"/>
      <x:c r="I195" t="str">
        <x:f>IF($A195="","",IF($H195="Met",1,IF($H195="Partially met",0.5,IF(OR($H195="Unmet",$H195="Unknown"),0,""))))</x:f>
      </x:c>
      <x:c r="J195" s="8"/>
      <x:c r="K195" t="str">
        <x:f>IF($A195="","",IF($J195="E4",4,IF($J195="E3",3,IF($J195="E2",2,IF($J195="E1",1,0)))))</x:f>
      </x:c>
      <x:c r="L195" s="8"/>
      <x:c r="M195" s="8"/>
      <x:c r="N195" s="8"/>
      <x:c r="O195" s="8"/>
      <x:c r="P195" s="8"/>
      <x:c r="Q195" t="str">
        <x:f>IF($A195="","",IF($D195="Baseline",1,IF($D195="Elevated",IF(OR('Profile'!$B$11="Elevated",'Profile'!$B$11="Critical"),1,0),IF($D195="Critical",IF('Profile'!$B$11="Critical",1,0),1))))</x:f>
      </x:c>
      <x:c r="R195" t="str">
        <x:f>IF($A195="","",IF($Q195=0,0,IF($H195="N/A",0,IF($H195="Met",IF(AND($K195&gt;=VALUE(RIGHT($G195,1)),$L195="Yes"),1,0),IF($H195="Partially met",IF(AND($K195&gt;=1,$L195="Yes"),0.5,0),0)))))</x:f>
      </x:c>
      <x:c r="S195" t="str">
        <x:f>IF($A195="","",IF($Q195=0,0,IF($H195="N/A",IF(AND($P195&lt;&gt;"",$O195&lt;&gt;"",IFERROR(VLOOKUP($O195,'Exceptions'!$A$5:$M$204,2,FALSE),"")="N/A determination",IFERROR(VLOOKUP($O195,'Exceptions'!$A$5:$M$204,13,FALSE),"")="Active",IFERROR(ISNUMBER(SEARCH($A195,IFERROR(VLOOKUP($O195,'Exceptions'!$A$5:$M$204,3,FALSE),""))),FALSE)),0,1),1)))</x:f>
      </x:c>
      <x:c r="T195" t="str">
        <x:f>IF($A195="","",IF($C195="","",IF($H195="N/A",IF(AND($P195&lt;&gt;"",$O195&lt;&gt;"",IFERROR(VLOOKUP($O195,'Exceptions'!$A$5:$M$204,2,FALSE),"")="N/A determination",IFERROR(VLOOKUP($O195,'Exceptions'!$A$5:$M$204,13,FALSE),"")="Active",IFERROR(ISNUMBER(SEARCH($A195,IFERROR(VLOOKUP($O195,'Exceptions'!$A$5:$M$204,3,FALSE),""))),FALSE)),"N/A","FAIL"),IF(OR($H195="Unknown",$H195="",$K195=0,$L195&lt;&gt;"Yes"),"UNKNOWN",IF($H195="Met",IF($K195&gt;=VALUE(RIGHT($G195,1)),"PASS","UNKNOWN"),IF(OR($H195="Partially met",$H195="Unmet"),"FAIL","UNKNOWN"))))))</x:f>
      </x:c>
      <x:c r="U195" t="str">
        <x:f>IF($A195="","",IF($S195=0,0,IF(AND($K195&gt;=1,$L195="Yes"),1,0)))</x:f>
      </x:c>
      <x:c r="V195" t="str">
        <x:f>IF($A195="","",IF(OR($S195=0,$H195="N/A",$L195&lt;&gt;"Yes"),0,$K195))</x:f>
      </x:c>
      <x:c r="AB195" t="str">
        <x:f>IF($A195="","",IF(AND($Q195=1,$H195="N/A",NOT(AND($P195&lt;&gt;"",$O195&lt;&gt;"",IFERROR(VLOOKUP($O195,'Exceptions'!$A$5:$M$204,2,FALSE),"")="N/A determination",IFERROR(VLOOKUP($O195,'Exceptions'!$A$5:$M$204,13,FALSE),"")="Active",IFERROR(ISNUMBER(SEARCH($A195,IFERROR(VLOOKUP($O195,'Exceptions'!$A$5:$M$204,3,FALSE),""))),FALSE)))),"MISSING OR INVALID N/A DECISION",IF(AND($Q195=1,OR($H195="Partially met",$H195="Unmet"),OR($K195&lt;1,$L195&lt;&gt;"Yes")),"KNOWN RATING NEEDS FRESH E1",IF(AND($Q195=1,$H195="Met",OR($K195&lt;VALUE(RIGHT($G195,1)),$L195&lt;&gt;"Yes")),"EVIDENCE BELOW MINIMUM",IF(AND($Q195=1,OR($H195="",$H195="Unknown")),"UNASSESSED",IF(AND($H195="N/A",AND($P195&lt;&gt;"",$O195&lt;&gt;"",IFERROR(VLOOKUP($O195,'Exceptions'!$A$5:$M$204,2,FALSE),"")="N/A determination",IFERROR(VLOOKUP($O195,'Exceptions'!$A$5:$M$204,13,FALSE),"")="Active",IFERROR(ISNUMBER(SEARCH($A195,IFERROR(VLOOKUP($O195,'Exceptions'!$A$5:$M$204,3,FALSE),""))),FALSE))),"N/A APPROVED",IF($O195&lt;&gt;"","EXCEPTION REVIEW","OK")))))))</x:f>
      </x:c>
    </x:row>
    <x:row r="196">
      <x:c r="H196" s="8"/>
      <x:c r="I196" t="str">
        <x:f>IF($A196="","",IF($H196="Met",1,IF($H196="Partially met",0.5,IF(OR($H196="Unmet",$H196="Unknown"),0,""))))</x:f>
      </x:c>
      <x:c r="J196" s="8"/>
      <x:c r="K196" t="str">
        <x:f>IF($A196="","",IF($J196="E4",4,IF($J196="E3",3,IF($J196="E2",2,IF($J196="E1",1,0)))))</x:f>
      </x:c>
      <x:c r="L196" s="8"/>
      <x:c r="M196" s="8"/>
      <x:c r="N196" s="8"/>
      <x:c r="O196" s="8"/>
      <x:c r="P196" s="8"/>
      <x:c r="Q196" t="str">
        <x:f>IF($A196="","",IF($D196="Baseline",1,IF($D196="Elevated",IF(OR('Profile'!$B$11="Elevated",'Profile'!$B$11="Critical"),1,0),IF($D196="Critical",IF('Profile'!$B$11="Critical",1,0),1))))</x:f>
      </x:c>
      <x:c r="R196" t="str">
        <x:f>IF($A196="","",IF($Q196=0,0,IF($H196="N/A",0,IF($H196="Met",IF(AND($K196&gt;=VALUE(RIGHT($G196,1)),$L196="Yes"),1,0),IF($H196="Partially met",IF(AND($K196&gt;=1,$L196="Yes"),0.5,0),0)))))</x:f>
      </x:c>
      <x:c r="S196" t="str">
        <x:f>IF($A196="","",IF($Q196=0,0,IF($H196="N/A",IF(AND($P196&lt;&gt;"",$O196&lt;&gt;"",IFERROR(VLOOKUP($O196,'Exceptions'!$A$5:$M$204,2,FALSE),"")="N/A determination",IFERROR(VLOOKUP($O196,'Exceptions'!$A$5:$M$204,13,FALSE),"")="Active",IFERROR(ISNUMBER(SEARCH($A196,IFERROR(VLOOKUP($O196,'Exceptions'!$A$5:$M$204,3,FALSE),""))),FALSE)),0,1),1)))</x:f>
      </x:c>
      <x:c r="T196" t="str">
        <x:f>IF($A196="","",IF($C196="","",IF($H196="N/A",IF(AND($P196&lt;&gt;"",$O196&lt;&gt;"",IFERROR(VLOOKUP($O196,'Exceptions'!$A$5:$M$204,2,FALSE),"")="N/A determination",IFERROR(VLOOKUP($O196,'Exceptions'!$A$5:$M$204,13,FALSE),"")="Active",IFERROR(ISNUMBER(SEARCH($A196,IFERROR(VLOOKUP($O196,'Exceptions'!$A$5:$M$204,3,FALSE),""))),FALSE)),"N/A","FAIL"),IF(OR($H196="Unknown",$H196="",$K196=0,$L196&lt;&gt;"Yes"),"UNKNOWN",IF($H196="Met",IF($K196&gt;=VALUE(RIGHT($G196,1)),"PASS","UNKNOWN"),IF(OR($H196="Partially met",$H196="Unmet"),"FAIL","UNKNOWN"))))))</x:f>
      </x:c>
      <x:c r="U196" t="str">
        <x:f>IF($A196="","",IF($S196=0,0,IF(AND($K196&gt;=1,$L196="Yes"),1,0)))</x:f>
      </x:c>
      <x:c r="V196" t="str">
        <x:f>IF($A196="","",IF(OR($S196=0,$H196="N/A",$L196&lt;&gt;"Yes"),0,$K196))</x:f>
      </x:c>
      <x:c r="AB196" t="str">
        <x:f>IF($A196="","",IF(AND($Q196=1,$H196="N/A",NOT(AND($P196&lt;&gt;"",$O196&lt;&gt;"",IFERROR(VLOOKUP($O196,'Exceptions'!$A$5:$M$204,2,FALSE),"")="N/A determination",IFERROR(VLOOKUP($O196,'Exceptions'!$A$5:$M$204,13,FALSE),"")="Active",IFERROR(ISNUMBER(SEARCH($A196,IFERROR(VLOOKUP($O196,'Exceptions'!$A$5:$M$204,3,FALSE),""))),FALSE)))),"MISSING OR INVALID N/A DECISION",IF(AND($Q196=1,OR($H196="Partially met",$H196="Unmet"),OR($K196&lt;1,$L196&lt;&gt;"Yes")),"KNOWN RATING NEEDS FRESH E1",IF(AND($Q196=1,$H196="Met",OR($K196&lt;VALUE(RIGHT($G196,1)),$L196&lt;&gt;"Yes")),"EVIDENCE BELOW MINIMUM",IF(AND($Q196=1,OR($H196="",$H196="Unknown")),"UNASSESSED",IF(AND($H196="N/A",AND($P196&lt;&gt;"",$O196&lt;&gt;"",IFERROR(VLOOKUP($O196,'Exceptions'!$A$5:$M$204,2,FALSE),"")="N/A determination",IFERROR(VLOOKUP($O196,'Exceptions'!$A$5:$M$204,13,FALSE),"")="Active",IFERROR(ISNUMBER(SEARCH($A196,IFERROR(VLOOKUP($O196,'Exceptions'!$A$5:$M$204,3,FALSE),""))),FALSE))),"N/A APPROVED",IF($O196&lt;&gt;"","EXCEPTION REVIEW","OK")))))))</x:f>
      </x:c>
    </x:row>
    <x:row r="197">
      <x:c r="H197" s="8"/>
      <x:c r="I197" t="str">
        <x:f>IF($A197="","",IF($H197="Met",1,IF($H197="Partially met",0.5,IF(OR($H197="Unmet",$H197="Unknown"),0,""))))</x:f>
      </x:c>
      <x:c r="J197" s="8"/>
      <x:c r="K197" t="str">
        <x:f>IF($A197="","",IF($J197="E4",4,IF($J197="E3",3,IF($J197="E2",2,IF($J197="E1",1,0)))))</x:f>
      </x:c>
      <x:c r="L197" s="8"/>
      <x:c r="M197" s="8"/>
      <x:c r="N197" s="8"/>
      <x:c r="O197" s="8"/>
      <x:c r="P197" s="8"/>
      <x:c r="Q197" t="str">
        <x:f>IF($A197="","",IF($D197="Baseline",1,IF($D197="Elevated",IF(OR('Profile'!$B$11="Elevated",'Profile'!$B$11="Critical"),1,0),IF($D197="Critical",IF('Profile'!$B$11="Critical",1,0),1))))</x:f>
      </x:c>
      <x:c r="R197" t="str">
        <x:f>IF($A197="","",IF($Q197=0,0,IF($H197="N/A",0,IF($H197="Met",IF(AND($K197&gt;=VALUE(RIGHT($G197,1)),$L197="Yes"),1,0),IF($H197="Partially met",IF(AND($K197&gt;=1,$L197="Yes"),0.5,0),0)))))</x:f>
      </x:c>
      <x:c r="S197" t="str">
        <x:f>IF($A197="","",IF($Q197=0,0,IF($H197="N/A",IF(AND($P197&lt;&gt;"",$O197&lt;&gt;"",IFERROR(VLOOKUP($O197,'Exceptions'!$A$5:$M$204,2,FALSE),"")="N/A determination",IFERROR(VLOOKUP($O197,'Exceptions'!$A$5:$M$204,13,FALSE),"")="Active",IFERROR(ISNUMBER(SEARCH($A197,IFERROR(VLOOKUP($O197,'Exceptions'!$A$5:$M$204,3,FALSE),""))),FALSE)),0,1),1)))</x:f>
      </x:c>
      <x:c r="T197" t="str">
        <x:f>IF($A197="","",IF($C197="","",IF($H197="N/A",IF(AND($P197&lt;&gt;"",$O197&lt;&gt;"",IFERROR(VLOOKUP($O197,'Exceptions'!$A$5:$M$204,2,FALSE),"")="N/A determination",IFERROR(VLOOKUP($O197,'Exceptions'!$A$5:$M$204,13,FALSE),"")="Active",IFERROR(ISNUMBER(SEARCH($A197,IFERROR(VLOOKUP($O197,'Exceptions'!$A$5:$M$204,3,FALSE),""))),FALSE)),"N/A","FAIL"),IF(OR($H197="Unknown",$H197="",$K197=0,$L197&lt;&gt;"Yes"),"UNKNOWN",IF($H197="Met",IF($K197&gt;=VALUE(RIGHT($G197,1)),"PASS","UNKNOWN"),IF(OR($H197="Partially met",$H197="Unmet"),"FAIL","UNKNOWN"))))))</x:f>
      </x:c>
      <x:c r="U197" t="str">
        <x:f>IF($A197="","",IF($S197=0,0,IF(AND($K197&gt;=1,$L197="Yes"),1,0)))</x:f>
      </x:c>
      <x:c r="V197" t="str">
        <x:f>IF($A197="","",IF(OR($S197=0,$H197="N/A",$L197&lt;&gt;"Yes"),0,$K197))</x:f>
      </x:c>
      <x:c r="AB197" t="str">
        <x:f>IF($A197="","",IF(AND($Q197=1,$H197="N/A",NOT(AND($P197&lt;&gt;"",$O197&lt;&gt;"",IFERROR(VLOOKUP($O197,'Exceptions'!$A$5:$M$204,2,FALSE),"")="N/A determination",IFERROR(VLOOKUP($O197,'Exceptions'!$A$5:$M$204,13,FALSE),"")="Active",IFERROR(ISNUMBER(SEARCH($A197,IFERROR(VLOOKUP($O197,'Exceptions'!$A$5:$M$204,3,FALSE),""))),FALSE)))),"MISSING OR INVALID N/A DECISION",IF(AND($Q197=1,OR($H197="Partially met",$H197="Unmet"),OR($K197&lt;1,$L197&lt;&gt;"Yes")),"KNOWN RATING NEEDS FRESH E1",IF(AND($Q197=1,$H197="Met",OR($K197&lt;VALUE(RIGHT($G197,1)),$L197&lt;&gt;"Yes")),"EVIDENCE BELOW MINIMUM",IF(AND($Q197=1,OR($H197="",$H197="Unknown")),"UNASSESSED",IF(AND($H197="N/A",AND($P197&lt;&gt;"",$O197&lt;&gt;"",IFERROR(VLOOKUP($O197,'Exceptions'!$A$5:$M$204,2,FALSE),"")="N/A determination",IFERROR(VLOOKUP($O197,'Exceptions'!$A$5:$M$204,13,FALSE),"")="Active",IFERROR(ISNUMBER(SEARCH($A197,IFERROR(VLOOKUP($O197,'Exceptions'!$A$5:$M$204,3,FALSE),""))),FALSE))),"N/A APPROVED",IF($O197&lt;&gt;"","EXCEPTION REVIEW","OK")))))))</x:f>
      </x:c>
    </x:row>
    <x:row r="198">
      <x:c r="H198" s="8"/>
      <x:c r="I198" t="str">
        <x:f>IF($A198="","",IF($H198="Met",1,IF($H198="Partially met",0.5,IF(OR($H198="Unmet",$H198="Unknown"),0,""))))</x:f>
      </x:c>
      <x:c r="J198" s="8"/>
      <x:c r="K198" t="str">
        <x:f>IF($A198="","",IF($J198="E4",4,IF($J198="E3",3,IF($J198="E2",2,IF($J198="E1",1,0)))))</x:f>
      </x:c>
      <x:c r="L198" s="8"/>
      <x:c r="M198" s="8"/>
      <x:c r="N198" s="8"/>
      <x:c r="O198" s="8"/>
      <x:c r="P198" s="8"/>
      <x:c r="Q198" t="str">
        <x:f>IF($A198="","",IF($D198="Baseline",1,IF($D198="Elevated",IF(OR('Profile'!$B$11="Elevated",'Profile'!$B$11="Critical"),1,0),IF($D198="Critical",IF('Profile'!$B$11="Critical",1,0),1))))</x:f>
      </x:c>
      <x:c r="R198" t="str">
        <x:f>IF($A198="","",IF($Q198=0,0,IF($H198="N/A",0,IF($H198="Met",IF(AND($K198&gt;=VALUE(RIGHT($G198,1)),$L198="Yes"),1,0),IF($H198="Partially met",IF(AND($K198&gt;=1,$L198="Yes"),0.5,0),0)))))</x:f>
      </x:c>
      <x:c r="S198" t="str">
        <x:f>IF($A198="","",IF($Q198=0,0,IF($H198="N/A",IF(AND($P198&lt;&gt;"",$O198&lt;&gt;"",IFERROR(VLOOKUP($O198,'Exceptions'!$A$5:$M$204,2,FALSE),"")="N/A determination",IFERROR(VLOOKUP($O198,'Exceptions'!$A$5:$M$204,13,FALSE),"")="Active",IFERROR(ISNUMBER(SEARCH($A198,IFERROR(VLOOKUP($O198,'Exceptions'!$A$5:$M$204,3,FALSE),""))),FALSE)),0,1),1)))</x:f>
      </x:c>
      <x:c r="T198" t="str">
        <x:f>IF($A198="","",IF($C198="","",IF($H198="N/A",IF(AND($P198&lt;&gt;"",$O198&lt;&gt;"",IFERROR(VLOOKUP($O198,'Exceptions'!$A$5:$M$204,2,FALSE),"")="N/A determination",IFERROR(VLOOKUP($O198,'Exceptions'!$A$5:$M$204,13,FALSE),"")="Active",IFERROR(ISNUMBER(SEARCH($A198,IFERROR(VLOOKUP($O198,'Exceptions'!$A$5:$M$204,3,FALSE),""))),FALSE)),"N/A","FAIL"),IF(OR($H198="Unknown",$H198="",$K198=0,$L198&lt;&gt;"Yes"),"UNKNOWN",IF($H198="Met",IF($K198&gt;=VALUE(RIGHT($G198,1)),"PASS","UNKNOWN"),IF(OR($H198="Partially met",$H198="Unmet"),"FAIL","UNKNOWN"))))))</x:f>
      </x:c>
      <x:c r="U198" t="str">
        <x:f>IF($A198="","",IF($S198=0,0,IF(AND($K198&gt;=1,$L198="Yes"),1,0)))</x:f>
      </x:c>
      <x:c r="V198" t="str">
        <x:f>IF($A198="","",IF(OR($S198=0,$H198="N/A",$L198&lt;&gt;"Yes"),0,$K198))</x:f>
      </x:c>
      <x:c r="AB198" t="str">
        <x:f>IF($A198="","",IF(AND($Q198=1,$H198="N/A",NOT(AND($P198&lt;&gt;"",$O198&lt;&gt;"",IFERROR(VLOOKUP($O198,'Exceptions'!$A$5:$M$204,2,FALSE),"")="N/A determination",IFERROR(VLOOKUP($O198,'Exceptions'!$A$5:$M$204,13,FALSE),"")="Active",IFERROR(ISNUMBER(SEARCH($A198,IFERROR(VLOOKUP($O198,'Exceptions'!$A$5:$M$204,3,FALSE),""))),FALSE)))),"MISSING OR INVALID N/A DECISION",IF(AND($Q198=1,OR($H198="Partially met",$H198="Unmet"),OR($K198&lt;1,$L198&lt;&gt;"Yes")),"KNOWN RATING NEEDS FRESH E1",IF(AND($Q198=1,$H198="Met",OR($K198&lt;VALUE(RIGHT($G198,1)),$L198&lt;&gt;"Yes")),"EVIDENCE BELOW MINIMUM",IF(AND($Q198=1,OR($H198="",$H198="Unknown")),"UNASSESSED",IF(AND($H198="N/A",AND($P198&lt;&gt;"",$O198&lt;&gt;"",IFERROR(VLOOKUP($O198,'Exceptions'!$A$5:$M$204,2,FALSE),"")="N/A determination",IFERROR(VLOOKUP($O198,'Exceptions'!$A$5:$M$204,13,FALSE),"")="Active",IFERROR(ISNUMBER(SEARCH($A198,IFERROR(VLOOKUP($O198,'Exceptions'!$A$5:$M$204,3,FALSE),""))),FALSE))),"N/A APPROVED",IF($O198&lt;&gt;"","EXCEPTION REVIEW","OK")))))))</x:f>
      </x:c>
    </x:row>
    <x:row r="199">
      <x:c r="H199" s="8"/>
      <x:c r="I199" t="str">
        <x:f>IF($A199="","",IF($H199="Met",1,IF($H199="Partially met",0.5,IF(OR($H199="Unmet",$H199="Unknown"),0,""))))</x:f>
      </x:c>
      <x:c r="J199" s="8"/>
      <x:c r="K199" t="str">
        <x:f>IF($A199="","",IF($J199="E4",4,IF($J199="E3",3,IF($J199="E2",2,IF($J199="E1",1,0)))))</x:f>
      </x:c>
      <x:c r="L199" s="8"/>
      <x:c r="M199" s="8"/>
      <x:c r="N199" s="8"/>
      <x:c r="O199" s="8"/>
      <x:c r="P199" s="8"/>
      <x:c r="Q199" t="str">
        <x:f>IF($A199="","",IF($D199="Baseline",1,IF($D199="Elevated",IF(OR('Profile'!$B$11="Elevated",'Profile'!$B$11="Critical"),1,0),IF($D199="Critical",IF('Profile'!$B$11="Critical",1,0),1))))</x:f>
      </x:c>
      <x:c r="R199" t="str">
        <x:f>IF($A199="","",IF($Q199=0,0,IF($H199="N/A",0,IF($H199="Met",IF(AND($K199&gt;=VALUE(RIGHT($G199,1)),$L199="Yes"),1,0),IF($H199="Partially met",IF(AND($K199&gt;=1,$L199="Yes"),0.5,0),0)))))</x:f>
      </x:c>
      <x:c r="S199" t="str">
        <x:f>IF($A199="","",IF($Q199=0,0,IF($H199="N/A",IF(AND($P199&lt;&gt;"",$O199&lt;&gt;"",IFERROR(VLOOKUP($O199,'Exceptions'!$A$5:$M$204,2,FALSE),"")="N/A determination",IFERROR(VLOOKUP($O199,'Exceptions'!$A$5:$M$204,13,FALSE),"")="Active",IFERROR(ISNUMBER(SEARCH($A199,IFERROR(VLOOKUP($O199,'Exceptions'!$A$5:$M$204,3,FALSE),""))),FALSE)),0,1),1)))</x:f>
      </x:c>
      <x:c r="T199" t="str">
        <x:f>IF($A199="","",IF($C199="","",IF($H199="N/A",IF(AND($P199&lt;&gt;"",$O199&lt;&gt;"",IFERROR(VLOOKUP($O199,'Exceptions'!$A$5:$M$204,2,FALSE),"")="N/A determination",IFERROR(VLOOKUP($O199,'Exceptions'!$A$5:$M$204,13,FALSE),"")="Active",IFERROR(ISNUMBER(SEARCH($A199,IFERROR(VLOOKUP($O199,'Exceptions'!$A$5:$M$204,3,FALSE),""))),FALSE)),"N/A","FAIL"),IF(OR($H199="Unknown",$H199="",$K199=0,$L199&lt;&gt;"Yes"),"UNKNOWN",IF($H199="Met",IF($K199&gt;=VALUE(RIGHT($G199,1)),"PASS","UNKNOWN"),IF(OR($H199="Partially met",$H199="Unmet"),"FAIL","UNKNOWN"))))))</x:f>
      </x:c>
      <x:c r="U199" t="str">
        <x:f>IF($A199="","",IF($S199=0,0,IF(AND($K199&gt;=1,$L199="Yes"),1,0)))</x:f>
      </x:c>
      <x:c r="V199" t="str">
        <x:f>IF($A199="","",IF(OR($S199=0,$H199="N/A",$L199&lt;&gt;"Yes"),0,$K199))</x:f>
      </x:c>
      <x:c r="AB199" t="str">
        <x:f>IF($A199="","",IF(AND($Q199=1,$H199="N/A",NOT(AND($P199&lt;&gt;"",$O199&lt;&gt;"",IFERROR(VLOOKUP($O199,'Exceptions'!$A$5:$M$204,2,FALSE),"")="N/A determination",IFERROR(VLOOKUP($O199,'Exceptions'!$A$5:$M$204,13,FALSE),"")="Active",IFERROR(ISNUMBER(SEARCH($A199,IFERROR(VLOOKUP($O199,'Exceptions'!$A$5:$M$204,3,FALSE),""))),FALSE)))),"MISSING OR INVALID N/A DECISION",IF(AND($Q199=1,OR($H199="Partially met",$H199="Unmet"),OR($K199&lt;1,$L199&lt;&gt;"Yes")),"KNOWN RATING NEEDS FRESH E1",IF(AND($Q199=1,$H199="Met",OR($K199&lt;VALUE(RIGHT($G199,1)),$L199&lt;&gt;"Yes")),"EVIDENCE BELOW MINIMUM",IF(AND($Q199=1,OR($H199="",$H199="Unknown")),"UNASSESSED",IF(AND($H199="N/A",AND($P199&lt;&gt;"",$O199&lt;&gt;"",IFERROR(VLOOKUP($O199,'Exceptions'!$A$5:$M$204,2,FALSE),"")="N/A determination",IFERROR(VLOOKUP($O199,'Exceptions'!$A$5:$M$204,13,FALSE),"")="Active",IFERROR(ISNUMBER(SEARCH($A199,IFERROR(VLOOKUP($O199,'Exceptions'!$A$5:$M$204,3,FALSE),""))),FALSE))),"N/A APPROVED",IF($O199&lt;&gt;"","EXCEPTION REVIEW","OK")))))))</x:f>
      </x:c>
    </x:row>
    <x:row r="200">
      <x:c r="H200" s="8"/>
      <x:c r="I200" t="str">
        <x:f>IF($A200="","",IF($H200="Met",1,IF($H200="Partially met",0.5,IF(OR($H200="Unmet",$H200="Unknown"),0,""))))</x:f>
      </x:c>
      <x:c r="J200" s="8"/>
      <x:c r="K200" t="str">
        <x:f>IF($A200="","",IF($J200="E4",4,IF($J200="E3",3,IF($J200="E2",2,IF($J200="E1",1,0)))))</x:f>
      </x:c>
      <x:c r="L200" s="8"/>
      <x:c r="M200" s="8"/>
      <x:c r="N200" s="8"/>
      <x:c r="O200" s="8"/>
      <x:c r="P200" s="8"/>
      <x:c r="Q200" t="str">
        <x:f>IF($A200="","",IF($D200="Baseline",1,IF($D200="Elevated",IF(OR('Profile'!$B$11="Elevated",'Profile'!$B$11="Critical"),1,0),IF($D200="Critical",IF('Profile'!$B$11="Critical",1,0),1))))</x:f>
      </x:c>
      <x:c r="R200" t="str">
        <x:f>IF($A200="","",IF($Q200=0,0,IF($H200="N/A",0,IF($H200="Met",IF(AND($K200&gt;=VALUE(RIGHT($G200,1)),$L200="Yes"),1,0),IF($H200="Partially met",IF(AND($K200&gt;=1,$L200="Yes"),0.5,0),0)))))</x:f>
      </x:c>
      <x:c r="S200" t="str">
        <x:f>IF($A200="","",IF($Q200=0,0,IF($H200="N/A",IF(AND($P200&lt;&gt;"",$O200&lt;&gt;"",IFERROR(VLOOKUP($O200,'Exceptions'!$A$5:$M$204,2,FALSE),"")="N/A determination",IFERROR(VLOOKUP($O200,'Exceptions'!$A$5:$M$204,13,FALSE),"")="Active",IFERROR(ISNUMBER(SEARCH($A200,IFERROR(VLOOKUP($O200,'Exceptions'!$A$5:$M$204,3,FALSE),""))),FALSE)),0,1),1)))</x:f>
      </x:c>
      <x:c r="T200" t="str">
        <x:f>IF($A200="","",IF($C200="","",IF($H200="N/A",IF(AND($P200&lt;&gt;"",$O200&lt;&gt;"",IFERROR(VLOOKUP($O200,'Exceptions'!$A$5:$M$204,2,FALSE),"")="N/A determination",IFERROR(VLOOKUP($O200,'Exceptions'!$A$5:$M$204,13,FALSE),"")="Active",IFERROR(ISNUMBER(SEARCH($A200,IFERROR(VLOOKUP($O200,'Exceptions'!$A$5:$M$204,3,FALSE),""))),FALSE)),"N/A","FAIL"),IF(OR($H200="Unknown",$H200="",$K200=0,$L200&lt;&gt;"Yes"),"UNKNOWN",IF($H200="Met",IF($K200&gt;=VALUE(RIGHT($G200,1)),"PASS","UNKNOWN"),IF(OR($H200="Partially met",$H200="Unmet"),"FAIL","UNKNOWN"))))))</x:f>
      </x:c>
      <x:c r="U200" t="str">
        <x:f>IF($A200="","",IF($S200=0,0,IF(AND($K200&gt;=1,$L200="Yes"),1,0)))</x:f>
      </x:c>
      <x:c r="V200" t="str">
        <x:f>IF($A200="","",IF(OR($S200=0,$H200="N/A",$L200&lt;&gt;"Yes"),0,$K200))</x:f>
      </x:c>
      <x:c r="AB200" t="str">
        <x:f>IF($A200="","",IF(AND($Q200=1,$H200="N/A",NOT(AND($P200&lt;&gt;"",$O200&lt;&gt;"",IFERROR(VLOOKUP($O200,'Exceptions'!$A$5:$M$204,2,FALSE),"")="N/A determination",IFERROR(VLOOKUP($O200,'Exceptions'!$A$5:$M$204,13,FALSE),"")="Active",IFERROR(ISNUMBER(SEARCH($A200,IFERROR(VLOOKUP($O200,'Exceptions'!$A$5:$M$204,3,FALSE),""))),FALSE)))),"MISSING OR INVALID N/A DECISION",IF(AND($Q200=1,OR($H200="Partially met",$H200="Unmet"),OR($K200&lt;1,$L200&lt;&gt;"Yes")),"KNOWN RATING NEEDS FRESH E1",IF(AND($Q200=1,$H200="Met",OR($K200&lt;VALUE(RIGHT($G200,1)),$L200&lt;&gt;"Yes")),"EVIDENCE BELOW MINIMUM",IF(AND($Q200=1,OR($H200="",$H200="Unknown")),"UNASSESSED",IF(AND($H200="N/A",AND($P200&lt;&gt;"",$O200&lt;&gt;"",IFERROR(VLOOKUP($O200,'Exceptions'!$A$5:$M$204,2,FALSE),"")="N/A determination",IFERROR(VLOOKUP($O200,'Exceptions'!$A$5:$M$204,13,FALSE),"")="Active",IFERROR(ISNUMBER(SEARCH($A200,IFERROR(VLOOKUP($O200,'Exceptions'!$A$5:$M$204,3,FALSE),""))),FALSE))),"N/A APPROVED",IF($O200&lt;&gt;"","EXCEPTION REVIEW","OK")))))))</x:f>
      </x:c>
    </x:row>
    <x:row r="201">
      <x:c r="H201" s="8"/>
      <x:c r="I201" t="str">
        <x:f>IF($A201="","",IF($H201="Met",1,IF($H201="Partially met",0.5,IF(OR($H201="Unmet",$H201="Unknown"),0,""))))</x:f>
      </x:c>
      <x:c r="J201" s="8"/>
      <x:c r="K201" t="str">
        <x:f>IF($A201="","",IF($J201="E4",4,IF($J201="E3",3,IF($J201="E2",2,IF($J201="E1",1,0)))))</x:f>
      </x:c>
      <x:c r="L201" s="8"/>
      <x:c r="M201" s="8"/>
      <x:c r="N201" s="8"/>
      <x:c r="O201" s="8"/>
      <x:c r="P201" s="8"/>
      <x:c r="Q201" t="str">
        <x:f>IF($A201="","",IF($D201="Baseline",1,IF($D201="Elevated",IF(OR('Profile'!$B$11="Elevated",'Profile'!$B$11="Critical"),1,0),IF($D201="Critical",IF('Profile'!$B$11="Critical",1,0),1))))</x:f>
      </x:c>
      <x:c r="R201" t="str">
        <x:f>IF($A201="","",IF($Q201=0,0,IF($H201="N/A",0,IF($H201="Met",IF(AND($K201&gt;=VALUE(RIGHT($G201,1)),$L201="Yes"),1,0),IF($H201="Partially met",IF(AND($K201&gt;=1,$L201="Yes"),0.5,0),0)))))</x:f>
      </x:c>
      <x:c r="S201" t="str">
        <x:f>IF($A201="","",IF($Q201=0,0,IF($H201="N/A",IF(AND($P201&lt;&gt;"",$O201&lt;&gt;"",IFERROR(VLOOKUP($O201,'Exceptions'!$A$5:$M$204,2,FALSE),"")="N/A determination",IFERROR(VLOOKUP($O201,'Exceptions'!$A$5:$M$204,13,FALSE),"")="Active",IFERROR(ISNUMBER(SEARCH($A201,IFERROR(VLOOKUP($O201,'Exceptions'!$A$5:$M$204,3,FALSE),""))),FALSE)),0,1),1)))</x:f>
      </x:c>
      <x:c r="T201" t="str">
        <x:f>IF($A201="","",IF($C201="","",IF($H201="N/A",IF(AND($P201&lt;&gt;"",$O201&lt;&gt;"",IFERROR(VLOOKUP($O201,'Exceptions'!$A$5:$M$204,2,FALSE),"")="N/A determination",IFERROR(VLOOKUP($O201,'Exceptions'!$A$5:$M$204,13,FALSE),"")="Active",IFERROR(ISNUMBER(SEARCH($A201,IFERROR(VLOOKUP($O201,'Exceptions'!$A$5:$M$204,3,FALSE),""))),FALSE)),"N/A","FAIL"),IF(OR($H201="Unknown",$H201="",$K201=0,$L201&lt;&gt;"Yes"),"UNKNOWN",IF($H201="Met",IF($K201&gt;=VALUE(RIGHT($G201,1)),"PASS","UNKNOWN"),IF(OR($H201="Partially met",$H201="Unmet"),"FAIL","UNKNOWN"))))))</x:f>
      </x:c>
      <x:c r="U201" t="str">
        <x:f>IF($A201="","",IF($S201=0,0,IF(AND($K201&gt;=1,$L201="Yes"),1,0)))</x:f>
      </x:c>
      <x:c r="V201" t="str">
        <x:f>IF($A201="","",IF(OR($S201=0,$H201="N/A",$L201&lt;&gt;"Yes"),0,$K201))</x:f>
      </x:c>
      <x:c r="AB201" t="str">
        <x:f>IF($A201="","",IF(AND($Q201=1,$H201="N/A",NOT(AND($P201&lt;&gt;"",$O201&lt;&gt;"",IFERROR(VLOOKUP($O201,'Exceptions'!$A$5:$M$204,2,FALSE),"")="N/A determination",IFERROR(VLOOKUP($O201,'Exceptions'!$A$5:$M$204,13,FALSE),"")="Active",IFERROR(ISNUMBER(SEARCH($A201,IFERROR(VLOOKUP($O201,'Exceptions'!$A$5:$M$204,3,FALSE),""))),FALSE)))),"MISSING OR INVALID N/A DECISION",IF(AND($Q201=1,OR($H201="Partially met",$H201="Unmet"),OR($K201&lt;1,$L201&lt;&gt;"Yes")),"KNOWN RATING NEEDS FRESH E1",IF(AND($Q201=1,$H201="Met",OR($K201&lt;VALUE(RIGHT($G201,1)),$L201&lt;&gt;"Yes")),"EVIDENCE BELOW MINIMUM",IF(AND($Q201=1,OR($H201="",$H201="Unknown")),"UNASSESSED",IF(AND($H201="N/A",AND($P201&lt;&gt;"",$O201&lt;&gt;"",IFERROR(VLOOKUP($O201,'Exceptions'!$A$5:$M$204,2,FALSE),"")="N/A determination",IFERROR(VLOOKUP($O201,'Exceptions'!$A$5:$M$204,13,FALSE),"")="Active",IFERROR(ISNUMBER(SEARCH($A201,IFERROR(VLOOKUP($O201,'Exceptions'!$A$5:$M$204,3,FALSE),""))),FALSE))),"N/A APPROVED",IF($O201&lt;&gt;"","EXCEPTION REVIEW","OK")))))))</x:f>
      </x:c>
    </x:row>
    <x:row r="202">
      <x:c r="H202" s="8"/>
      <x:c r="I202" t="str">
        <x:f>IF($A202="","",IF($H202="Met",1,IF($H202="Partially met",0.5,IF(OR($H202="Unmet",$H202="Unknown"),0,""))))</x:f>
      </x:c>
      <x:c r="J202" s="8"/>
      <x:c r="K202" t="str">
        <x:f>IF($A202="","",IF($J202="E4",4,IF($J202="E3",3,IF($J202="E2",2,IF($J202="E1",1,0)))))</x:f>
      </x:c>
      <x:c r="L202" s="8"/>
      <x:c r="M202" s="8"/>
      <x:c r="N202" s="8"/>
      <x:c r="O202" s="8"/>
      <x:c r="P202" s="8"/>
      <x:c r="Q202" t="str">
        <x:f>IF($A202="","",IF($D202="Baseline",1,IF($D202="Elevated",IF(OR('Profile'!$B$11="Elevated",'Profile'!$B$11="Critical"),1,0),IF($D202="Critical",IF('Profile'!$B$11="Critical",1,0),1))))</x:f>
      </x:c>
      <x:c r="R202" t="str">
        <x:f>IF($A202="","",IF($Q202=0,0,IF($H202="N/A",0,IF($H202="Met",IF(AND($K202&gt;=VALUE(RIGHT($G202,1)),$L202="Yes"),1,0),IF($H202="Partially met",IF(AND($K202&gt;=1,$L202="Yes"),0.5,0),0)))))</x:f>
      </x:c>
      <x:c r="S202" t="str">
        <x:f>IF($A202="","",IF($Q202=0,0,IF($H202="N/A",IF(AND($P202&lt;&gt;"",$O202&lt;&gt;"",IFERROR(VLOOKUP($O202,'Exceptions'!$A$5:$M$204,2,FALSE),"")="N/A determination",IFERROR(VLOOKUP($O202,'Exceptions'!$A$5:$M$204,13,FALSE),"")="Active",IFERROR(ISNUMBER(SEARCH($A202,IFERROR(VLOOKUP($O202,'Exceptions'!$A$5:$M$204,3,FALSE),""))),FALSE)),0,1),1)))</x:f>
      </x:c>
      <x:c r="T202" t="str">
        <x:f>IF($A202="","",IF($C202="","",IF($H202="N/A",IF(AND($P202&lt;&gt;"",$O202&lt;&gt;"",IFERROR(VLOOKUP($O202,'Exceptions'!$A$5:$M$204,2,FALSE),"")="N/A determination",IFERROR(VLOOKUP($O202,'Exceptions'!$A$5:$M$204,13,FALSE),"")="Active",IFERROR(ISNUMBER(SEARCH($A202,IFERROR(VLOOKUP($O202,'Exceptions'!$A$5:$M$204,3,FALSE),""))),FALSE)),"N/A","FAIL"),IF(OR($H202="Unknown",$H202="",$K202=0,$L202&lt;&gt;"Yes"),"UNKNOWN",IF($H202="Met",IF($K202&gt;=VALUE(RIGHT($G202,1)),"PASS","UNKNOWN"),IF(OR($H202="Partially met",$H202="Unmet"),"FAIL","UNKNOWN"))))))</x:f>
      </x:c>
      <x:c r="U202" t="str">
        <x:f>IF($A202="","",IF($S202=0,0,IF(AND($K202&gt;=1,$L202="Yes"),1,0)))</x:f>
      </x:c>
      <x:c r="V202" t="str">
        <x:f>IF($A202="","",IF(OR($S202=0,$H202="N/A",$L202&lt;&gt;"Yes"),0,$K202))</x:f>
      </x:c>
      <x:c r="AB202" t="str">
        <x:f>IF($A202="","",IF(AND($Q202=1,$H202="N/A",NOT(AND($P202&lt;&gt;"",$O202&lt;&gt;"",IFERROR(VLOOKUP($O202,'Exceptions'!$A$5:$M$204,2,FALSE),"")="N/A determination",IFERROR(VLOOKUP($O202,'Exceptions'!$A$5:$M$204,13,FALSE),"")="Active",IFERROR(ISNUMBER(SEARCH($A202,IFERROR(VLOOKUP($O202,'Exceptions'!$A$5:$M$204,3,FALSE),""))),FALSE)))),"MISSING OR INVALID N/A DECISION",IF(AND($Q202=1,OR($H202="Partially met",$H202="Unmet"),OR($K202&lt;1,$L202&lt;&gt;"Yes")),"KNOWN RATING NEEDS FRESH E1",IF(AND($Q202=1,$H202="Met",OR($K202&lt;VALUE(RIGHT($G202,1)),$L202&lt;&gt;"Yes")),"EVIDENCE BELOW MINIMUM",IF(AND($Q202=1,OR($H202="",$H202="Unknown")),"UNASSESSED",IF(AND($H202="N/A",AND($P202&lt;&gt;"",$O202&lt;&gt;"",IFERROR(VLOOKUP($O202,'Exceptions'!$A$5:$M$204,2,FALSE),"")="N/A determination",IFERROR(VLOOKUP($O202,'Exceptions'!$A$5:$M$204,13,FALSE),"")="Active",IFERROR(ISNUMBER(SEARCH($A202,IFERROR(VLOOKUP($O202,'Exceptions'!$A$5:$M$204,3,FALSE),""))),FALSE))),"N/A APPROVED",IF($O202&lt;&gt;"","EXCEPTION REVIEW","OK")))))))</x:f>
      </x:c>
    </x:row>
    <x:row r="203">
      <x:c r="H203" s="8"/>
      <x:c r="I203" t="str">
        <x:f>IF($A203="","",IF($H203="Met",1,IF($H203="Partially met",0.5,IF(OR($H203="Unmet",$H203="Unknown"),0,""))))</x:f>
      </x:c>
      <x:c r="J203" s="8"/>
      <x:c r="K203" t="str">
        <x:f>IF($A203="","",IF($J203="E4",4,IF($J203="E3",3,IF($J203="E2",2,IF($J203="E1",1,0)))))</x:f>
      </x:c>
      <x:c r="L203" s="8"/>
      <x:c r="M203" s="8"/>
      <x:c r="N203" s="8"/>
      <x:c r="O203" s="8"/>
      <x:c r="P203" s="8"/>
      <x:c r="Q203" t="str">
        <x:f>IF($A203="","",IF($D203="Baseline",1,IF($D203="Elevated",IF(OR('Profile'!$B$11="Elevated",'Profile'!$B$11="Critical"),1,0),IF($D203="Critical",IF('Profile'!$B$11="Critical",1,0),1))))</x:f>
      </x:c>
      <x:c r="R203" t="str">
        <x:f>IF($A203="","",IF($Q203=0,0,IF($H203="N/A",0,IF($H203="Met",IF(AND($K203&gt;=VALUE(RIGHT($G203,1)),$L203="Yes"),1,0),IF($H203="Partially met",IF(AND($K203&gt;=1,$L203="Yes"),0.5,0),0)))))</x:f>
      </x:c>
      <x:c r="S203" t="str">
        <x:f>IF($A203="","",IF($Q203=0,0,IF($H203="N/A",IF(AND($P203&lt;&gt;"",$O203&lt;&gt;"",IFERROR(VLOOKUP($O203,'Exceptions'!$A$5:$M$204,2,FALSE),"")="N/A determination",IFERROR(VLOOKUP($O203,'Exceptions'!$A$5:$M$204,13,FALSE),"")="Active",IFERROR(ISNUMBER(SEARCH($A203,IFERROR(VLOOKUP($O203,'Exceptions'!$A$5:$M$204,3,FALSE),""))),FALSE)),0,1),1)))</x:f>
      </x:c>
      <x:c r="T203" t="str">
        <x:f>IF($A203="","",IF($C203="","",IF($H203="N/A",IF(AND($P203&lt;&gt;"",$O203&lt;&gt;"",IFERROR(VLOOKUP($O203,'Exceptions'!$A$5:$M$204,2,FALSE),"")="N/A determination",IFERROR(VLOOKUP($O203,'Exceptions'!$A$5:$M$204,13,FALSE),"")="Active",IFERROR(ISNUMBER(SEARCH($A203,IFERROR(VLOOKUP($O203,'Exceptions'!$A$5:$M$204,3,FALSE),""))),FALSE)),"N/A","FAIL"),IF(OR($H203="Unknown",$H203="",$K203=0,$L203&lt;&gt;"Yes"),"UNKNOWN",IF($H203="Met",IF($K203&gt;=VALUE(RIGHT($G203,1)),"PASS","UNKNOWN"),IF(OR($H203="Partially met",$H203="Unmet"),"FAIL","UNKNOWN"))))))</x:f>
      </x:c>
      <x:c r="U203" t="str">
        <x:f>IF($A203="","",IF($S203=0,0,IF(AND($K203&gt;=1,$L203="Yes"),1,0)))</x:f>
      </x:c>
      <x:c r="V203" t="str">
        <x:f>IF($A203="","",IF(OR($S203=0,$H203="N/A",$L203&lt;&gt;"Yes"),0,$K203))</x:f>
      </x:c>
      <x:c r="AB203" t="str">
        <x:f>IF($A203="","",IF(AND($Q203=1,$H203="N/A",NOT(AND($P203&lt;&gt;"",$O203&lt;&gt;"",IFERROR(VLOOKUP($O203,'Exceptions'!$A$5:$M$204,2,FALSE),"")="N/A determination",IFERROR(VLOOKUP($O203,'Exceptions'!$A$5:$M$204,13,FALSE),"")="Active",IFERROR(ISNUMBER(SEARCH($A203,IFERROR(VLOOKUP($O203,'Exceptions'!$A$5:$M$204,3,FALSE),""))),FALSE)))),"MISSING OR INVALID N/A DECISION",IF(AND($Q203=1,OR($H203="Partially met",$H203="Unmet"),OR($K203&lt;1,$L203&lt;&gt;"Yes")),"KNOWN RATING NEEDS FRESH E1",IF(AND($Q203=1,$H203="Met",OR($K203&lt;VALUE(RIGHT($G203,1)),$L203&lt;&gt;"Yes")),"EVIDENCE BELOW MINIMUM",IF(AND($Q203=1,OR($H203="",$H203="Unknown")),"UNASSESSED",IF(AND($H203="N/A",AND($P203&lt;&gt;"",$O203&lt;&gt;"",IFERROR(VLOOKUP($O203,'Exceptions'!$A$5:$M$204,2,FALSE),"")="N/A determination",IFERROR(VLOOKUP($O203,'Exceptions'!$A$5:$M$204,13,FALSE),"")="Active",IFERROR(ISNUMBER(SEARCH($A203,IFERROR(VLOOKUP($O203,'Exceptions'!$A$5:$M$204,3,FALSE),""))),FALSE))),"N/A APPROVED",IF($O203&lt;&gt;"","EXCEPTION REVIEW","OK")))))))</x:f>
      </x:c>
    </x:row>
    <x:row r="204">
      <x:c r="H204" s="8"/>
      <x:c r="I204" t="str">
        <x:f>IF($A204="","",IF($H204="Met",1,IF($H204="Partially met",0.5,IF(OR($H204="Unmet",$H204="Unknown"),0,""))))</x:f>
      </x:c>
      <x:c r="J204" s="8"/>
      <x:c r="K204" t="str">
        <x:f>IF($A204="","",IF($J204="E4",4,IF($J204="E3",3,IF($J204="E2",2,IF($J204="E1",1,0)))))</x:f>
      </x:c>
      <x:c r="L204" s="8"/>
      <x:c r="M204" s="8"/>
      <x:c r="N204" s="8"/>
      <x:c r="O204" s="8"/>
      <x:c r="P204" s="8"/>
      <x:c r="Q204" t="str">
        <x:f>IF($A204="","",IF($D204="Baseline",1,IF($D204="Elevated",IF(OR('Profile'!$B$11="Elevated",'Profile'!$B$11="Critical"),1,0),IF($D204="Critical",IF('Profile'!$B$11="Critical",1,0),1))))</x:f>
      </x:c>
      <x:c r="R204" t="str">
        <x:f>IF($A204="","",IF($Q204=0,0,IF($H204="N/A",0,IF($H204="Met",IF(AND($K204&gt;=VALUE(RIGHT($G204,1)),$L204="Yes"),1,0),IF($H204="Partially met",IF(AND($K204&gt;=1,$L204="Yes"),0.5,0),0)))))</x:f>
      </x:c>
      <x:c r="S204" t="str">
        <x:f>IF($A204="","",IF($Q204=0,0,IF($H204="N/A",IF(AND($P204&lt;&gt;"",$O204&lt;&gt;"",IFERROR(VLOOKUP($O204,'Exceptions'!$A$5:$M$204,2,FALSE),"")="N/A determination",IFERROR(VLOOKUP($O204,'Exceptions'!$A$5:$M$204,13,FALSE),"")="Active",IFERROR(ISNUMBER(SEARCH($A204,IFERROR(VLOOKUP($O204,'Exceptions'!$A$5:$M$204,3,FALSE),""))),FALSE)),0,1),1)))</x:f>
      </x:c>
      <x:c r="T204" t="str">
        <x:f>IF($A204="","",IF($C204="","",IF($H204="N/A",IF(AND($P204&lt;&gt;"",$O204&lt;&gt;"",IFERROR(VLOOKUP($O204,'Exceptions'!$A$5:$M$204,2,FALSE),"")="N/A determination",IFERROR(VLOOKUP($O204,'Exceptions'!$A$5:$M$204,13,FALSE),"")="Active",IFERROR(ISNUMBER(SEARCH($A204,IFERROR(VLOOKUP($O204,'Exceptions'!$A$5:$M$204,3,FALSE),""))),FALSE)),"N/A","FAIL"),IF(OR($H204="Unknown",$H204="",$K204=0,$L204&lt;&gt;"Yes"),"UNKNOWN",IF($H204="Met",IF($K204&gt;=VALUE(RIGHT($G204,1)),"PASS","UNKNOWN"),IF(OR($H204="Partially met",$H204="Unmet"),"FAIL","UNKNOWN"))))))</x:f>
      </x:c>
      <x:c r="U204" t="str">
        <x:f>IF($A204="","",IF($S204=0,0,IF(AND($K204&gt;=1,$L204="Yes"),1,0)))</x:f>
      </x:c>
      <x:c r="V204" t="str">
        <x:f>IF($A204="","",IF(OR($S204=0,$H204="N/A",$L204&lt;&gt;"Yes"),0,$K204))</x:f>
      </x:c>
      <x:c r="AB204" t="str">
        <x:f>IF($A204="","",IF(AND($Q204=1,$H204="N/A",NOT(AND($P204&lt;&gt;"",$O204&lt;&gt;"",IFERROR(VLOOKUP($O204,'Exceptions'!$A$5:$M$204,2,FALSE),"")="N/A determination",IFERROR(VLOOKUP($O204,'Exceptions'!$A$5:$M$204,13,FALSE),"")="Active",IFERROR(ISNUMBER(SEARCH($A204,IFERROR(VLOOKUP($O204,'Exceptions'!$A$5:$M$204,3,FALSE),""))),FALSE)))),"MISSING OR INVALID N/A DECISION",IF(AND($Q204=1,OR($H204="Partially met",$H204="Unmet"),OR($K204&lt;1,$L204&lt;&gt;"Yes")),"KNOWN RATING NEEDS FRESH E1",IF(AND($Q204=1,$H204="Met",OR($K204&lt;VALUE(RIGHT($G204,1)),$L204&lt;&gt;"Yes")),"EVIDENCE BELOW MINIMUM",IF(AND($Q204=1,OR($H204="",$H204="Unknown")),"UNASSESSED",IF(AND($H204="N/A",AND($P204&lt;&gt;"",$O204&lt;&gt;"",IFERROR(VLOOKUP($O204,'Exceptions'!$A$5:$M$204,2,FALSE),"")="N/A determination",IFERROR(VLOOKUP($O204,'Exceptions'!$A$5:$M$204,13,FALSE),"")="Active",IFERROR(ISNUMBER(SEARCH($A204,IFERROR(VLOOKUP($O204,'Exceptions'!$A$5:$M$204,3,FALSE),""))),FALSE))),"N/A APPROVED",IF($O204&lt;&gt;"","EXCEPTION REVIEW","OK")))))))</x:f>
      </x:c>
    </x:row>
  </x:sheetData>
  <x:mergeCells>
    <x:mergeCell ref="A1:AB1"/>
    <x:mergeCell ref="A2:AB2"/>
  </x:mergeCells>
  <x:conditionalFormatting sqref="H5:H204">
    <x:cfRule type="cellIs" dxfId="0" priority="1" operator="equal">
      <x:formula>"Met"</x:formula>
    </x:cfRule>
    <x:cfRule type="cellIs" dxfId="1" priority="2" operator="equal">
      <x:formula>"Unmet"</x:formula>
    </x:cfRule>
    <x:cfRule type="cellIs" dxfId="2" priority="3" operator="equal">
      <x:formula>"Partially met"</x:formula>
    </x:cfRule>
  </x:conditionalFormatting>
  <x:conditionalFormatting sqref="T5:T204">
    <x:cfRule type="cellIs" dxfId="3" priority="4" operator="equal">
      <x:formula>"FAIL"</x:formula>
    </x:cfRule>
    <x:cfRule type="cellIs" dxfId="4" priority="5" operator="equal">
      <x:formula>"UNKNOWN"</x:formula>
    </x:cfRule>
    <x:cfRule type="cellIs" dxfId="5" priority="6" operator="equal">
      <x:formula>"PASS"</x:formula>
    </x:cfRule>
  </x:conditionalFormatting>
  <x:conditionalFormatting sqref="AB5:AB204">
    <x:cfRule type="cellIs" dxfId="6" priority="7" operator="notEqual">
      <x:formula>"OK"</x:formula>
    </x:cfRule>
  </x:conditionalFormatting>
  <x:dataValidations count="3">
    <x:dataValidation type="list" sqref="H5:H204">
      <x:formula1>"Unknown,Unmet,Partially met,Met,N/A"</x:formula1>
    </x:dataValidation>
    <x:dataValidation type="list" sqref="J5:J204">
      <x:formula1>"E0,E1,E2,E3,E4"</x:formula1>
    </x:dataValidation>
    <x:dataValidation type="list" sqref="L5:L204">
      <x:formula1>"Unknown,No,Yes"</x:formula1>
    </x:dataValidation>
  </x:dataValidations>
  <x:pageMargins left="0.7" right="0.7" top="0.75" bottom="0.75" header="0.3" footer="0.3"/>
  <x:legacyDrawing xmlns:r="http://schemas.openxmlformats.org/officeDocument/2006/relationships" r:id="R6c4ddafd4d7a412c"/>
</x:worksheet>
</file>

<file path=xl/worksheets/sheet6.xml><?xml version="1.0" encoding="utf-8"?>
<x:worksheet xmlns:x="http://schemas.openxmlformats.org/spreadsheetml/2006/main">
  <x:sheetViews>
    <x:sheetView showGridLines="0" workbookViewId="0"/>
  </x:sheetViews>
  <x:sheetFormatPr defaultRowHeight="15"/>
  <x:cols>
    <x:col min="1" max="1" width="43" hidden="0" customWidth="1"/>
    <x:col min="2" max="2" width="22" hidden="0" customWidth="1"/>
    <x:col min="3" max="3" width="24" hidden="0" customWidth="1"/>
    <x:col min="4" max="4" width="24" hidden="0" customWidth="1"/>
    <x:col min="5" max="5" width="24" hidden="0" customWidth="1"/>
    <x:col min="6" max="6" width="24" hidden="0" customWidth="1"/>
  </x:cols>
  <x:sheetData>
    <x:row r="1" ht="28" customHeight="1">
      <x:c r="A1" s="3" t="str">
        <x:v>Repository Health Scorecard</x:v>
      </x:c>
      <x:c r="B1" s="3" t="str">
        <x:v>Repository Health Scorecard</x:v>
      </x:c>
      <x:c r="C1" s="3" t="str">
        <x:v>Repository Health Scorecard</x:v>
      </x:c>
      <x:c r="D1" s="3" t="str">
        <x:v>Repository Health Scorecard</x:v>
      </x:c>
      <x:c r="E1" s="3" t="str">
        <x:v>Repository Health Scorecard</x:v>
      </x:c>
      <x:c r="F1" s="3" t="str">
        <x:v>Repository Health Scorecard</x:v>
      </x:c>
    </x:row>
    <x:row r="2" ht="30" customHeight="1">
      <x:c r="A2" s="7" t="str">
        <x:v>The score is formula-driven from Controls. A failed or Unknown foundational gate caps the final result at 69 / D / M1 — Developing.</x:v>
      </x:c>
      <x:c r="B2" s="7" t="str">
        <x:v>The score is formula-driven from Controls. A failed or Unknown foundational gate caps the final result at 69 / D / M1 — Developing.</x:v>
      </x:c>
      <x:c r="C2" s="7" t="str">
        <x:v>The score is formula-driven from Controls. A failed or Unknown foundational gate caps the final result at 69 / D / M1 — Developing.</x:v>
      </x:c>
      <x:c r="D2" s="7" t="str">
        <x:v>The score is formula-driven from Controls. A failed or Unknown foundational gate caps the final result at 69 / D / M1 — Developing.</x:v>
      </x:c>
      <x:c r="E2" s="7" t="str">
        <x:v>The score is formula-driven from Controls. A failed or Unknown foundational gate caps the final result at 69 / D / M1 — Developing.</x:v>
      </x:c>
      <x:c r="F2" s="7" t="str">
        <x:v>The score is formula-driven from Controls. A failed or Unknown foundational gate caps the final result at 69 / D / M1 — Developing.</x:v>
      </x:c>
    </x:row>
    <x:row r="4" ht="30" customHeight="1">
      <x:c r="A4" s="24" t="str">
        <x:v>Result</x:v>
      </x:c>
      <x:c r="B4" s="24" t="str">
        <x:v>Value</x:v>
      </x:c>
      <x:c r="D4" s="24" t="str">
        <x:v>Issuance readiness</x:v>
      </x:c>
      <x:c r="E4" s="24" t="str">
        <x:v>Value</x:v>
      </x:c>
    </x:row>
    <x:row r="5">
      <x:c r="A5" s="62" t="str">
        <x:v>Raw diagnostic score</x:v>
      </x:c>
      <x:c r="B5" s="63" t="n">
        <x:f>IFERROR(AVERAGE($D$14:$D$21),0)</x:f>
        <x:v>0</x:v>
      </x:c>
      <x:c r="D5" s="48" t="str">
        <x:v>Profile completeness</x:v>
      </x:c>
      <x:c r="E5" s="25" t="str">
        <x:f>IF(AND('Profile'!$B$6&lt;&gt;"",'Profile'!$B$7&lt;&gt;"",'Profile'!$B$8&lt;&gt;"",'Profile'!$B$9&lt;&gt;"",'Profile'!$B$10&lt;&gt;"",OR('Profile'!$B$11="Baseline",'Profile'!$B$11="Elevated",'Profile'!$B$11="Critical"),'Profile'!$B$12&lt;&gt;"",'Profile'!$B$13&lt;&gt;"",'Profile'!$B$14&lt;&gt;"",'Profile'!$B$16&lt;&gt;"",'Profile'!$B$17&lt;&gt;"",'Profile'!$B$18&lt;&gt;"",'Profile'!$B$19&lt;&gt;"",'Profile'!$B$20&lt;&gt;"",'Profile'!$B$21&lt;&gt;"",'Profile'!$B$22&lt;&gt;"",'Profile'!$B$23&lt;&gt;""),IF(OR('Profile'!$B$10="Unclassified",'Profile'!$B$12="Unknown",'Profile'!$B$16="Unclassified"),"READY WITH LIMITATIONS","READY"),"NOT READY")</x:f>
        <x:v>NOT READY</x:v>
      </x:c>
    </x:row>
    <x:row r="6">
      <x:c r="A6" s="62" t="str">
        <x:v>Gate cap</x:v>
      </x:c>
      <x:c r="B6" s="63" t="str">
        <x:f>IF(COUNTIF('Controls'!$T$5:$T$204,"FAIL")+COUNTIF('Controls'!$T$5:$T$204,"UNKNOWN")&gt;0,"ACTIVE","CLEAR")</x:f>
        <x:v>ACTIVE</x:v>
      </x:c>
      <x:c r="D6" s="48" t="str">
        <x:v>Missing / invalid required fields</x:v>
      </x:c>
      <x:c r="E6" s="25" t="n">
        <x:f>IF('Profile'!$B$6="",1,0)+IF('Profile'!$B$7="",1,0)+IF('Profile'!$B$8="",1,0)+IF('Profile'!$B$9="",1,0)+IF('Profile'!$B$10="",1,0)+IF(NOT(OR('Profile'!$B$11="Baseline",'Profile'!$B$11="Elevated",'Profile'!$B$11="Critical")),1,0)+IF('Profile'!$B$12="",1,0)+IF('Profile'!$B$13="",1,0)+IF('Profile'!$B$14="",1,0)+IF('Profile'!$B$16="",1,0)+IF('Profile'!$B$17="",1,0)+IF('Profile'!$B$18="",1,0)+IF('Profile'!$B$19="",1,0)+IF('Profile'!$B$20="",1,0)+IF('Profile'!$B$21="",1,0)+IF('Profile'!$B$22="",1,0)+IF('Profile'!$B$23="",1,0)</x:f>
        <x:v>17</x:v>
      </x:c>
    </x:row>
    <x:row r="7">
      <x:c r="A7" s="62" t="str">
        <x:v>Final score</x:v>
      </x:c>
      <x:c r="B7" s="64" t="n">
        <x:f>IF(B6="ACTIVE",MIN(B5,69),B5)</x:f>
        <x:v>0</x:v>
      </x:c>
      <x:c r="D7" s="48" t="str">
        <x:v>Issuance rule</x:v>
      </x:c>
      <x:c r="E7" s="25" t="str">
        <x:v>Do not issue an aggregate grade until READY</x:v>
      </x:c>
    </x:row>
    <x:row r="8">
      <x:c r="A8" s="62" t="str">
        <x:v>Letter grade</x:v>
      </x:c>
      <x:c r="B8" s="65" t="str">
        <x:f>IF(B7&gt;=90,"A",IF(B7&gt;=80,"B",IF(B7&gt;=70,"C",IF(B7&gt;=60,"D","F"))))</x:f>
        <x:v>F</x:v>
      </x:c>
    </x:row>
    <x:row r="9">
      <x:c r="A9" s="62" t="str">
        <x:v>Maturity</x:v>
      </x:c>
      <x:c r="B9" s="65" t="str">
        <x:f>IF(B7&gt;=90,"M4 — Leading",IF(B7&gt;=80,"M3 — Managed",IF(B7&gt;=70,"M2 — Defined",IF(B7&gt;=60,"M1 — Developing","M0 — At Risk"))))</x:f>
        <x:v>M0 — At Risk</x:v>
      </x:c>
    </x:row>
    <x:row r="10">
      <x:c r="A10" s="62" t="str">
        <x:v>Evidence coverage</x:v>
      </x:c>
      <x:c r="B10" s="66" t="n">
        <x:f>IFERROR(SUM('Controls'!$U$5:$U$204)/SUM('Controls'!$S$5:$S$204),0)</x:f>
        <x:v>0</x:v>
      </x:c>
    </x:row>
    <x:row r="11">
      <x:c r="A11" s="62" t="str">
        <x:v>Assurance index</x:v>
      </x:c>
      <x:c r="B11" s="66" t="n">
        <x:f>IFERROR(SUM('Controls'!$V$5:$V$204)/(SUM('Controls'!$S$5:$S$204)*4),0)</x:f>
        <x:v>0</x:v>
      </x:c>
    </x:row>
    <x:row r="12">
      <x:c r="A12" s="62" t="str">
        <x:v>Assurance label</x:v>
      </x:c>
      <x:c r="B12" s="25" t="str">
        <x:f>IF(AND(B11&gt;=0.75,COUNTIFS('Controls'!$C$5:$C$204,"&lt;&gt;",'Controls'!$V$5:$V$204,"&lt;3",'Controls'!$T$5:$T$204,"&lt;&gt;N/A")=0),"High",IF(B11&gt;=0.5,"Moderate","Low"))</x:f>
        <x:v>Low</x:v>
      </x:c>
    </x:row>
    <x:row r="13" ht="30" customHeight="1">
      <x:c r="A13" s="24" t="str">
        <x:v>Dimension</x:v>
      </x:c>
      <x:c r="B13" s="24" t="str">
        <x:v>Earned</x:v>
      </x:c>
      <x:c r="C13" s="24" t="str">
        <x:v>Maximum</x:v>
      </x:c>
      <x:c r="D13" s="24" t="str">
        <x:v>Score</x:v>
      </x:c>
      <x:c r="E13" s="24" t="str">
        <x:v>Applicable controls</x:v>
      </x:c>
      <x:c r="F13" s="24" t="str">
        <x:v>Evidence gaps</x:v>
      </x:c>
    </x:row>
    <x:row r="14">
      <x:c r="A14" s="25" t="str">
        <x:v>Source-to-production integrity</x:v>
      </x:c>
      <x:c r="B14" s="25" t="n">
        <x:f>SUMIF('Controls'!$B$5:$B$204,$A14,'Controls'!$R$5:$R$204)</x:f>
        <x:v>0</x:v>
      </x:c>
      <x:c r="C14" s="25" t="n">
        <x:f>SUMIF('Controls'!$B$5:$B$204,$A14,'Controls'!$S$5:$S$204)</x:f>
        <x:v>4</x:v>
      </x:c>
      <x:c r="D14" s="63" t="n">
        <x:f>IF(C14=0,"",B14/C14*100)</x:f>
        <x:v>0</x:v>
      </x:c>
      <x:c r="E14" s="25" t="n">
        <x:f>COUNTIFS('Controls'!$B$5:$B$204,$A14,'Controls'!$S$5:$S$204,1)</x:f>
        <x:v>4</x:v>
      </x:c>
      <x:c r="F14" s="25" t="n">
        <x:f>COUNTIFS('Controls'!$B$5:$B$204,$A14,'Controls'!$S$5:$S$204,1,'Controls'!$U$5:$U$204,0)</x:f>
        <x:v>4</x:v>
      </x:c>
    </x:row>
    <x:row r="15">
      <x:c r="A15" s="25" t="str">
        <x:v>Build, test, and CI health</x:v>
      </x:c>
      <x:c r="B15" s="25" t="n">
        <x:f>SUMIF('Controls'!$B$5:$B$204,$A15,'Controls'!$R$5:$R$204)</x:f>
        <x:v>0</x:v>
      </x:c>
      <x:c r="C15" s="25" t="n">
        <x:f>SUMIF('Controls'!$B$5:$B$204,$A15,'Controls'!$S$5:$S$204)</x:f>
        <x:v>5</x:v>
      </x:c>
      <x:c r="D15" s="63" t="n">
        <x:f>IF(C15=0,"",B15/C15*100)</x:f>
        <x:v>0</x:v>
      </x:c>
      <x:c r="E15" s="25" t="n">
        <x:f>COUNTIFS('Controls'!$B$5:$B$204,$A15,'Controls'!$S$5:$S$204,1)</x:f>
        <x:v>5</x:v>
      </x:c>
      <x:c r="F15" s="25" t="n">
        <x:f>COUNTIFS('Controls'!$B$5:$B$204,$A15,'Controls'!$S$5:$S$204,1,'Controls'!$U$5:$U$204,0)</x:f>
        <x:v>5</x:v>
      </x:c>
    </x:row>
    <x:row r="16">
      <x:c r="A16" s="25" t="str">
        <x:v>Change governance and branch discipline</x:v>
      </x:c>
      <x:c r="B16" s="25" t="n">
        <x:f>SUMIF('Controls'!$B$5:$B$204,$A16,'Controls'!$R$5:$R$204)</x:f>
        <x:v>0</x:v>
      </x:c>
      <x:c r="C16" s="25" t="n">
        <x:f>SUMIF('Controls'!$B$5:$B$204,$A16,'Controls'!$S$5:$S$204)</x:f>
        <x:v>6</x:v>
      </x:c>
      <x:c r="D16" s="63" t="n">
        <x:f>IF(C16=0,"",B16/C16*100)</x:f>
        <x:v>0</x:v>
      </x:c>
      <x:c r="E16" s="25" t="n">
        <x:f>COUNTIFS('Controls'!$B$5:$B$204,$A16,'Controls'!$S$5:$S$204,1)</x:f>
        <x:v>6</x:v>
      </x:c>
      <x:c r="F16" s="25" t="n">
        <x:f>COUNTIFS('Controls'!$B$5:$B$204,$A16,'Controls'!$S$5:$S$204,1,'Controls'!$U$5:$U$204,0)</x:f>
        <x:v>6</x:v>
      </x:c>
    </x:row>
    <x:row r="17">
      <x:c r="A17" s="25" t="str">
        <x:v>Security and software-supply-chain health</x:v>
      </x:c>
      <x:c r="B17" s="25" t="n">
        <x:f>SUMIF('Controls'!$B$5:$B$204,$A17,'Controls'!$R$5:$R$204)</x:f>
        <x:v>0</x:v>
      </x:c>
      <x:c r="C17" s="25" t="n">
        <x:f>SUMIF('Controls'!$B$5:$B$204,$A17,'Controls'!$S$5:$S$204)</x:f>
        <x:v>4</x:v>
      </x:c>
      <x:c r="D17" s="63" t="n">
        <x:f>IF(C17=0,"",B17/C17*100)</x:f>
        <x:v>0</x:v>
      </x:c>
      <x:c r="E17" s="25" t="n">
        <x:f>COUNTIFS('Controls'!$B$5:$B$204,$A17,'Controls'!$S$5:$S$204,1)</x:f>
        <x:v>4</x:v>
      </x:c>
      <x:c r="F17" s="25" t="n">
        <x:f>COUNTIFS('Controls'!$B$5:$B$204,$A17,'Controls'!$S$5:$S$204,1,'Controls'!$U$5:$U$204,0)</x:f>
        <x:v>4</x:v>
      </x:c>
    </x:row>
    <x:row r="18">
      <x:c r="A18" s="25" t="str">
        <x:v>Ownership and maintainability</x:v>
      </x:c>
      <x:c r="B18" s="25" t="n">
        <x:f>SUMIF('Controls'!$B$5:$B$204,$A18,'Controls'!$R$5:$R$204)</x:f>
        <x:v>0</x:v>
      </x:c>
      <x:c r="C18" s="25" t="n">
        <x:f>SUMIF('Controls'!$B$5:$B$204,$A18,'Controls'!$S$5:$S$204)</x:f>
        <x:v>4</x:v>
      </x:c>
      <x:c r="D18" s="63" t="n">
        <x:f>IF(C18=0,"",B18/C18*100)</x:f>
        <x:v>0</x:v>
      </x:c>
      <x:c r="E18" s="25" t="n">
        <x:f>COUNTIFS('Controls'!$B$5:$B$204,$A18,'Controls'!$S$5:$S$204,1)</x:f>
        <x:v>4</x:v>
      </x:c>
      <x:c r="F18" s="25" t="n">
        <x:f>COUNTIFS('Controls'!$B$5:$B$204,$A18,'Controls'!$S$5:$S$204,1,'Controls'!$U$5:$U$204,0)</x:f>
        <x:v>4</x:v>
      </x:c>
    </x:row>
    <x:row r="19">
      <x:c r="A19" s="25" t="str">
        <x:v>Documentation and contributor readiness</x:v>
      </x:c>
      <x:c r="B19" s="25" t="n">
        <x:f>SUMIF('Controls'!$B$5:$B$204,$A19,'Controls'!$R$5:$R$204)</x:f>
        <x:v>0</x:v>
      </x:c>
      <x:c r="C19" s="25" t="n">
        <x:f>SUMIF('Controls'!$B$5:$B$204,$A19,'Controls'!$S$5:$S$204)</x:f>
        <x:v>4</x:v>
      </x:c>
      <x:c r="D19" s="63" t="n">
        <x:f>IF(C19=0,"",B19/C19*100)</x:f>
        <x:v>0</x:v>
      </x:c>
      <x:c r="E19" s="25" t="n">
        <x:f>COUNTIFS('Controls'!$B$5:$B$204,$A19,'Controls'!$S$5:$S$204,1)</x:f>
        <x:v>4</x:v>
      </x:c>
      <x:c r="F19" s="25" t="n">
        <x:f>COUNTIFS('Controls'!$B$5:$B$204,$A19,'Controls'!$S$5:$S$204,1,'Controls'!$U$5:$U$204,0)</x:f>
        <x:v>4</x:v>
      </x:c>
    </x:row>
    <x:row r="20">
      <x:c r="A20" s="25" t="str">
        <x:v>Release, rollback, and operational readiness</x:v>
      </x:c>
      <x:c r="B20" s="25" t="n">
        <x:f>SUMIF('Controls'!$B$5:$B$204,$A20,'Controls'!$R$5:$R$204)</x:f>
        <x:v>0</x:v>
      </x:c>
      <x:c r="C20" s="25" t="n">
        <x:f>SUMIF('Controls'!$B$5:$B$204,$A20,'Controls'!$S$5:$S$204)</x:f>
        <x:v>4</x:v>
      </x:c>
      <x:c r="D20" s="63" t="n">
        <x:f>IF(C20=0,"",B20/C20*100)</x:f>
        <x:v>0</x:v>
      </x:c>
      <x:c r="E20" s="25" t="n">
        <x:f>COUNTIFS('Controls'!$B$5:$B$204,$A20,'Controls'!$S$5:$S$204,1)</x:f>
        <x:v>4</x:v>
      </x:c>
      <x:c r="F20" s="25" t="n">
        <x:f>COUNTIFS('Controls'!$B$5:$B$204,$A20,'Controls'!$S$5:$S$204,1,'Controls'!$U$5:$U$204,0)</x:f>
        <x:v>4</x:v>
      </x:c>
    </x:row>
    <x:row r="21">
      <x:c r="A21" s="25" t="str">
        <x:v>Repository lifecycle and portfolio hygiene</x:v>
      </x:c>
      <x:c r="B21" s="25" t="n">
        <x:f>SUMIF('Controls'!$B$5:$B$204,$A21,'Controls'!$R$5:$R$204)</x:f>
        <x:v>0</x:v>
      </x:c>
      <x:c r="C21" s="25" t="n">
        <x:f>SUMIF('Controls'!$B$5:$B$204,$A21,'Controls'!$S$5:$S$204)</x:f>
        <x:v>3</x:v>
      </x:c>
      <x:c r="D21" s="63" t="n">
        <x:f>IF(C21=0,"",B21/C21*100)</x:f>
        <x:v>0</x:v>
      </x:c>
      <x:c r="E21" s="25" t="n">
        <x:f>COUNTIFS('Controls'!$B$5:$B$204,$A21,'Controls'!$S$5:$S$204,1)</x:f>
        <x:v>3</x:v>
      </x:c>
      <x:c r="F21" s="25" t="n">
        <x:f>COUNTIFS('Controls'!$B$5:$B$204,$A21,'Controls'!$S$5:$S$204,1,'Controls'!$U$5:$U$204,0)</x:f>
        <x:v>3</x:v>
      </x:c>
    </x:row>
    <x:row r="24" ht="30" customHeight="1">
      <x:c r="A24" s="24" t="str">
        <x:v>Gate</x:v>
      </x:c>
      <x:c r="B24" s="24" t="str">
        <x:v>Result</x:v>
      </x:c>
      <x:c r="C24" s="24" t="str">
        <x:v>Required outcome</x:v>
      </x:c>
      <x:c r="D24" s="25"/>
      <x:c r="E24" s="25"/>
      <x:c r="F24" s="25"/>
    </x:row>
    <x:row r="25">
      <x:c r="A25" s="25" t="str">
        <x:v>G-01</x:v>
      </x:c>
      <x:c r="B25" s="25" t="str">
        <x:f>IF(COUNTIF('Controls'!$C$5:$C$204,$A25)=0,"NOT LOADED",IF(COUNTIFS('Controls'!$C$5:$C$204,$A25,'Controls'!$T$5:$T$204,"FAIL")&gt;0,"FAIL",IF(COUNTIFS('Controls'!$C$5:$C$204,$A25,'Controls'!$T$5:$T$204,"UNKNOWN")&gt;0,"UNKNOWN",IF(COUNTIFS('Controls'!$C$5:$C$204,$A25,'Controls'!$T$5:$T$204,"N/A")=COUNTIF('Controls'!$C$5:$C$204,$A25),"N/A","PASS"))))</x:f>
        <x:v>UNKNOWN</x:v>
      </x:c>
      <x:c r="C25" s="25" t="str">
        <x:v>Main buildable, validated, and releasable</x:v>
      </x:c>
      <x:c r="D25" s="25"/>
      <x:c r="E25" s="25"/>
      <x:c r="F25" s="25"/>
    </x:row>
    <x:row r="26">
      <x:c r="A26" s="25" t="str">
        <x:v>G-02</x:v>
      </x:c>
      <x:c r="B26" s="25" t="str">
        <x:f>IF(COUNTIF('Controls'!$C$5:$C$204,$A26)=0,"NOT LOADED",IF(COUNTIFS('Controls'!$C$5:$C$204,$A26,'Controls'!$T$5:$T$204,"FAIL")&gt;0,"FAIL",IF(COUNTIFS('Controls'!$C$5:$C$204,$A26,'Controls'!$T$5:$T$204,"UNKNOWN")&gt;0,"UNKNOWN",IF(COUNTIFS('Controls'!$C$5:$C$204,$A26,'Controls'!$T$5:$T$204,"N/A")=COUNTIF('Controls'!$C$5:$C$204,$A26),"N/A","PASS"))))</x:f>
        <x:v>UNKNOWN</x:v>
      </x:c>
      <x:c r="C26" s="25" t="str">
        <x:v>Production/published state traceable to Main</x:v>
      </x:c>
      <x:c r="D26" s="25"/>
      <x:c r="E26" s="25"/>
      <x:c r="F26" s="25"/>
    </x:row>
    <x:row r="27">
      <x:c r="A27" s="25" t="str">
        <x:v>G-03</x:v>
      </x:c>
      <x:c r="B27" s="25" t="str">
        <x:f>IF(COUNTIF('Controls'!$C$5:$C$204,$A27)=0,"NOT LOADED",IF(COUNTIFS('Controls'!$C$5:$C$204,$A27,'Controls'!$T$5:$T$204,"FAIL")&gt;0,"FAIL",IF(COUNTIFS('Controls'!$C$5:$C$204,$A27,'Controls'!$T$5:$T$204,"UNKNOWN")&gt;0,"UNKNOWN",IF(COUNTIFS('Controls'!$C$5:$C$204,$A27,'Controls'!$T$5:$T$204,"N/A")=COUNTIF('Controls'!$C$5:$C$204,$A27),"N/A","PASS"))))</x:f>
        <x:v>UNKNOWN</x:v>
      </x:c>
      <x:c r="C27" s="25" t="str">
        <x:v>Controlled and auditable path to Main</x:v>
      </x:c>
      <x:c r="D27" s="25"/>
      <x:c r="E27" s="25"/>
      <x:c r="F27" s="25"/>
    </x:row>
    <x:row r="28">
      <x:c r="A28" s="25" t="str">
        <x:v>G-04</x:v>
      </x:c>
      <x:c r="B28" s="25" t="str">
        <x:f>IF(COUNTIF('Controls'!$C$5:$C$204,$A28)=0,"NOT LOADED",IF(COUNTIFS('Controls'!$C$5:$C$204,$A28,'Controls'!$T$5:$T$204,"FAIL")&gt;0,"FAIL",IF(COUNTIFS('Controls'!$C$5:$C$204,$A28,'Controls'!$T$5:$T$204,"UNKNOWN")&gt;0,"UNKNOWN",IF(COUNTIFS('Controls'!$C$5:$C$204,$A28,'Controls'!$T$5:$T$204,"N/A")=COUNTIF('Controls'!$C$5:$C$204,$A28),"N/A","PASS"))))</x:f>
        <x:v>UNKNOWN</x:v>
      </x:c>
      <x:c r="C28" s="25" t="str">
        <x:v>Production-critical refs protected</x:v>
      </x:c>
      <x:c r="D28" s="25"/>
      <x:c r="E28" s="25"/>
      <x:c r="F28" s="25"/>
    </x:row>
    <x:row r="31" ht="30" customHeight="1">
      <x:c r="A31" s="24" t="str">
        <x:v>Improvement summary</x:v>
      </x:c>
      <x:c r="B31" s="24" t="str">
        <x:v>Count</x:v>
      </x:c>
      <x:c r="D31" s="24" t="str">
        <x:v>Evidence level</x:v>
      </x:c>
      <x:c r="E31" s="24" t="str">
        <x:v>Applicable controls</x:v>
      </x:c>
    </x:row>
    <x:row r="32">
      <x:c r="A32" s="25" t="str">
        <x:v>Unmet controls</x:v>
      </x:c>
      <x:c r="B32" s="25" t="n">
        <x:f>COUNTIFS('Controls'!$H$5:$H$204,"Unmet",'Controls'!$S$5:$S$204,1)</x:f>
        <x:v>0</x:v>
      </x:c>
      <x:c r="D32" s="25" t="str">
        <x:v>E0</x:v>
      </x:c>
      <x:c r="E32" s="25" t="n">
        <x:f>COUNTIFS('Controls'!$V$5:$V$204,VALUE(RIGHT($D32,1)),'Controls'!$S$5:$S$204,1)</x:f>
        <x:v>34</x:v>
      </x:c>
    </x:row>
    <x:row r="33">
      <x:c r="A33" s="25" t="str">
        <x:v>Partially met controls</x:v>
      </x:c>
      <x:c r="B33" s="25" t="n">
        <x:f>COUNTIFS('Controls'!$H$5:$H$204,"Partially met",'Controls'!$S$5:$S$204,1)</x:f>
        <x:v>0</x:v>
      </x:c>
      <x:c r="D33" s="25" t="str">
        <x:v>E1</x:v>
      </x:c>
      <x:c r="E33" s="25" t="n">
        <x:f>COUNTIFS('Controls'!$V$5:$V$204,VALUE(RIGHT($D33,1)),'Controls'!$S$5:$S$204,1)</x:f>
        <x:v>0</x:v>
      </x:c>
    </x:row>
    <x:row r="34">
      <x:c r="A34" s="25" t="str">
        <x:v>Unassessed applicable controls</x:v>
      </x:c>
      <x:c r="B34" s="25" t="n">
        <x:f>COUNTIFS('Controls'!$AB$5:$AB$204,"UNASSESSED")</x:f>
        <x:v>34</x:v>
      </x:c>
      <x:c r="D34" s="25" t="str">
        <x:v>E2</x:v>
      </x:c>
      <x:c r="E34" s="25" t="n">
        <x:f>COUNTIFS('Controls'!$V$5:$V$204,VALUE(RIGHT($D34,1)),'Controls'!$S$5:$S$204,1)</x:f>
        <x:v>0</x:v>
      </x:c>
    </x:row>
    <x:row r="35">
      <x:c r="A35" s="25" t="str">
        <x:v>Open findings</x:v>
      </x:c>
      <x:c r="B35" s="25" t="n">
        <x:f>COUNTIFS('Findings'!$M$5:$M$204,"&lt;&gt;Closed",'Findings'!$A$5:$A$204,"&lt;&gt;")</x:f>
        <x:v>0</x:v>
      </x:c>
      <x:c r="D35" s="25" t="str">
        <x:v>E3</x:v>
      </x:c>
      <x:c r="E35" s="25" t="n">
        <x:f>COUNTIFS('Controls'!$V$5:$V$204,VALUE(RIGHT($D35,1)),'Controls'!$S$5:$S$204,1)</x:f>
        <x:v>0</x:v>
      </x:c>
    </x:row>
    <x:row r="36">
      <x:c r="D36" s="25" t="str">
        <x:v>E4</x:v>
      </x:c>
      <x:c r="E36" s="25" t="n">
        <x:f>COUNTIFS('Controls'!$V$5:$V$204,VALUE(RIGHT($D36,1)),'Controls'!$S$5:$S$204,1)</x:f>
        <x:v>0</x:v>
      </x:c>
    </x:row>
  </x:sheetData>
  <x:mergeCells>
    <x:mergeCell ref="A1:F1"/>
    <x:mergeCell ref="A2:F2"/>
    <x:mergeCell ref="C24:F24"/>
    <x:mergeCell ref="C25:F25"/>
    <x:mergeCell ref="C26:F26"/>
    <x:mergeCell ref="C27:F27"/>
    <x:mergeCell ref="C28:F28"/>
  </x:mergeCells>
  <x:conditionalFormatting sqref="E5:E5">
    <x:cfRule type="cellIs" dxfId="7" priority="1" operator="equal">
      <x:formula>"READY"</x:formula>
    </x:cfRule>
    <x:cfRule type="cellIs" dxfId="8" priority="2" operator="equal">
      <x:formula>"READY WITH LIMITATIONS"</x:formula>
    </x:cfRule>
    <x:cfRule type="cellIs" dxfId="9" priority="3" operator="equal">
      <x:formula>"NOT READY"</x:formula>
    </x:cfRule>
  </x:conditionalFormatting>
  <x:conditionalFormatting sqref="D14:D21">
    <x:cfRule type="colorScale" priority="4">
      <x:colorScale>
        <x:cfvo type="min"/>
        <x:cfvo type="percentile" val="50"/>
        <x:cfvo type="max"/>
        <x:color rgb="FFFCE4D6"/>
        <x:color rgb="FFFFF2CC"/>
        <x:color rgb="FFE2F0D9"/>
      </x:colorScale>
    </x:cfRule>
  </x:conditionalFormatting>
  <x:conditionalFormatting sqref="B25:B28">
    <x:cfRule type="cellIs" dxfId="10" priority="5" operator="equal">
      <x:formula>"FAIL"</x:formula>
    </x:cfRule>
    <x:cfRule type="cellIs" dxfId="11" priority="6" operator="equal">
      <x:formula>"UNKNOWN"</x:formula>
    </x:cfRule>
    <x:cfRule type="cellIs" dxfId="12" priority="7" operator="equal">
      <x:formula>"PASS"</x:formula>
    </x:cfRule>
  </x:conditionalFormatting>
  <x:pageMargins left="0.7" right="0.7" top="0.75" bottom="0.75" header="0.3" footer="0.3"/>
  <x:legacyDrawing xmlns:r="http://schemas.openxmlformats.org/officeDocument/2006/relationships" r:id="Re9d97fb2f9d04977"/>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18" hidden="0" customWidth="1"/>
    <x:col min="4" max="4" width="20" hidden="0" customWidth="1"/>
    <x:col min="5" max="5" width="42" hidden="0" customWidth="1"/>
    <x:col min="6" max="6" width="14" hidden="0" customWidth="1"/>
    <x:col min="7" max="7" width="14" hidden="0" customWidth="1"/>
    <x:col min="8" max="8" width="14" hidden="0" customWidth="1"/>
    <x:col min="9" max="9" width="28" hidden="0" customWidth="1"/>
    <x:col min="10" max="10" width="14" hidden="0" customWidth="1"/>
    <x:col min="11" max="11" width="12" hidden="0" customWidth="1"/>
    <x:col min="12" max="12" width="20" hidden="0" customWidth="1"/>
    <x:col min="13" max="13" width="24" hidden="0" customWidth="1"/>
    <x:col min="14" max="14" width="36" hidden="0" customWidth="1"/>
  </x:cols>
  <x:sheetData>
    <x:row r="1" ht="28" customHeight="1">
      <x:c r="A1" s="3" t="str">
        <x:v>Evidence Inventory</x:v>
      </x:c>
      <x:c r="B1" s="3" t="str">
        <x:v>Evidence Inventory</x:v>
      </x:c>
      <x:c r="C1" s="3" t="str">
        <x:v>Evidence Inventory</x:v>
      </x:c>
      <x:c r="D1" s="3" t="str">
        <x:v>Evidence Inventory</x:v>
      </x:c>
      <x:c r="E1" s="3" t="str">
        <x:v>Evidence Inventory</x:v>
      </x:c>
      <x:c r="F1" s="3" t="str">
        <x:v>Evidence Inventory</x:v>
      </x:c>
      <x:c r="G1" s="3" t="str">
        <x:v>Evidence Inventory</x:v>
      </x:c>
      <x:c r="H1" s="3" t="str">
        <x:v>Evidence Inventory</x:v>
      </x:c>
      <x:c r="I1" s="3" t="str">
        <x:v>Evidence Inventory</x:v>
      </x:c>
      <x:c r="J1" s="3" t="str">
        <x:v>Evidence Inventory</x:v>
      </x:c>
      <x:c r="K1" s="3" t="str">
        <x:v>Evidence Inventory</x:v>
      </x:c>
      <x:c r="L1" s="3" t="str">
        <x:v>Evidence Inventory</x:v>
      </x:c>
      <x:c r="M1" s="3" t="str">
        <x:v>Evidence Inventory</x:v>
      </x:c>
      <x:c r="N1" s="3" t="str">
        <x:v>Evidence Inventory</x:v>
      </x:c>
    </x:row>
    <x:row r="2" ht="30" customHeight="1">
      <x:c r="A2" s="7" t="str">
        <x:v>Reference sensitive evidence in its system of record. Do not copy secrets, confidential logs, or regulated data into this workbook.</x:v>
      </x:c>
      <x:c r="B2" s="7" t="str">
        <x:v>Reference sensitive evidence in its system of record. Do not copy secrets, confidential logs, or regulated data into this workbook.</x:v>
      </x:c>
      <x:c r="C2" s="7" t="str">
        <x:v>Reference sensitive evidence in its system of record. Do not copy secrets, confidential logs, or regulated data into this workbook.</x:v>
      </x:c>
      <x:c r="D2" s="7" t="str">
        <x:v>Reference sensitive evidence in its system of record. Do not copy secrets, confidential logs, or regulated data into this workbook.</x:v>
      </x:c>
      <x:c r="E2" s="7" t="str">
        <x:v>Reference sensitive evidence in its system of record. Do not copy secrets, confidential logs, or regulated data into this workbook.</x:v>
      </x:c>
      <x:c r="F2" s="7" t="str">
        <x:v>Reference sensitive evidence in its system of record. Do not copy secrets, confidential logs, or regulated data into this workbook.</x:v>
      </x:c>
      <x:c r="G2" s="7" t="str">
        <x:v>Reference sensitive evidence in its system of record. Do not copy secrets, confidential logs, or regulated data into this workbook.</x:v>
      </x:c>
      <x:c r="H2" s="7" t="str">
        <x:v>Reference sensitive evidence in its system of record. Do not copy secrets, confidential logs, or regulated data into this workbook.</x:v>
      </x:c>
      <x:c r="I2" s="7" t="str">
        <x:v>Reference sensitive evidence in its system of record. Do not copy secrets, confidential logs, or regulated data into this workbook.</x:v>
      </x:c>
      <x:c r="J2" s="7" t="str">
        <x:v>Reference sensitive evidence in its system of record. Do not copy secrets, confidential logs, or regulated data into this workbook.</x:v>
      </x:c>
      <x:c r="K2" s="7" t="str">
        <x:v>Reference sensitive evidence in its system of record. Do not copy secrets, confidential logs, or regulated data into this workbook.</x:v>
      </x:c>
      <x:c r="L2" s="7" t="str">
        <x:v>Reference sensitive evidence in its system of record. Do not copy secrets, confidential logs, or regulated data into this workbook.</x:v>
      </x:c>
      <x:c r="M2" s="7" t="str">
        <x:v>Reference sensitive evidence in its system of record. Do not copy secrets, confidential logs, or regulated data into this workbook.</x:v>
      </x:c>
      <x:c r="N2" s="7" t="str">
        <x:v>Reference sensitive evidence in its system of record. Do not copy secrets, confidential logs, or regulated data into this workbook.</x:v>
      </x:c>
    </x:row>
    <x:row r="4" ht="30" customHeight="1">
      <x:c r="A4" s="24" t="str">
        <x:v>Evidence ID</x:v>
      </x:c>
      <x:c r="B4" s="24" t="str">
        <x:v>Control IDs</x:v>
      </x:c>
      <x:c r="C4" s="24" t="str">
        <x:v>Source type</x:v>
      </x:c>
      <x:c r="D4" s="24" t="str">
        <x:v>System</x:v>
      </x:c>
      <x:c r="E4" s="24" t="str">
        <x:v>Location/reference</x:v>
      </x:c>
      <x:c r="F4" s="24" t="str">
        <x:v>Observed at</x:v>
      </x:c>
      <x:c r="G4" s="24" t="str">
        <x:v>Period start</x:v>
      </x:c>
      <x:c r="H4" s="24" t="str">
        <x:v>Period end</x:v>
      </x:c>
      <x:c r="I4" s="24" t="str">
        <x:v>Population coverage</x:v>
      </x:c>
      <x:c r="J4" s="24" t="str">
        <x:v>Freshness days</x:v>
      </x:c>
      <x:c r="K4" s="24" t="str">
        <x:v>Assurance</x:v>
      </x:c>
      <x:c r="L4" s="24" t="str">
        <x:v>Collector</x:v>
      </x:c>
      <x:c r="M4" s="24" t="str">
        <x:v>Access / redaction</x:v>
      </x:c>
      <x:c r="N4" s="24" t="str">
        <x:v>Notes / limitations</x:v>
      </x:c>
    </x:row>
    <x:row r="5">
      <x:c r="A5" s="53"/>
      <x:c r="B5" s="53"/>
      <x:c r="C5" s="53"/>
      <x:c r="D5" s="53"/>
      <x:c r="E5" s="53"/>
      <x:c r="F5" s="67"/>
      <x:c r="G5" s="67"/>
      <x:c r="H5" s="67"/>
      <x:c r="I5" s="53"/>
      <x:c r="J5" s="53"/>
      <x:c r="K5" s="53"/>
      <x:c r="L5" s="53"/>
      <x:c r="M5" s="53"/>
      <x:c r="N5" s="53"/>
    </x:row>
    <x:row r="6">
      <x:c r="A6" s="53"/>
      <x:c r="B6" s="53"/>
      <x:c r="C6" s="53"/>
      <x:c r="D6" s="53"/>
      <x:c r="E6" s="53"/>
      <x:c r="F6" s="67"/>
      <x:c r="G6" s="67"/>
      <x:c r="H6" s="67"/>
      <x:c r="I6" s="53"/>
      <x:c r="J6" s="53"/>
      <x:c r="K6" s="53"/>
      <x:c r="L6" s="53"/>
      <x:c r="M6" s="53"/>
      <x:c r="N6" s="53"/>
    </x:row>
    <x:row r="7">
      <x:c r="A7" s="53"/>
      <x:c r="B7" s="53"/>
      <x:c r="C7" s="53"/>
      <x:c r="D7" s="53"/>
      <x:c r="E7" s="53"/>
      <x:c r="F7" s="67"/>
      <x:c r="G7" s="67"/>
      <x:c r="H7" s="67"/>
      <x:c r="I7" s="53"/>
      <x:c r="J7" s="53"/>
      <x:c r="K7" s="53"/>
      <x:c r="L7" s="53"/>
      <x:c r="M7" s="53"/>
      <x:c r="N7" s="53"/>
    </x:row>
    <x:row r="8">
      <x:c r="A8" s="53"/>
      <x:c r="B8" s="53"/>
      <x:c r="C8" s="53"/>
      <x:c r="D8" s="53"/>
      <x:c r="E8" s="53"/>
      <x:c r="F8" s="67"/>
      <x:c r="G8" s="67"/>
      <x:c r="H8" s="67"/>
      <x:c r="I8" s="53"/>
      <x:c r="J8" s="53"/>
      <x:c r="K8" s="53"/>
      <x:c r="L8" s="53"/>
      <x:c r="M8" s="53"/>
      <x:c r="N8" s="53"/>
    </x:row>
    <x:row r="9">
      <x:c r="A9" s="53"/>
      <x:c r="B9" s="53"/>
      <x:c r="C9" s="53"/>
      <x:c r="D9" s="53"/>
      <x:c r="E9" s="53"/>
      <x:c r="F9" s="67"/>
      <x:c r="G9" s="67"/>
      <x:c r="H9" s="67"/>
      <x:c r="I9" s="53"/>
      <x:c r="J9" s="53"/>
      <x:c r="K9" s="53"/>
      <x:c r="L9" s="53"/>
      <x:c r="M9" s="53"/>
      <x:c r="N9" s="53"/>
    </x:row>
    <x:row r="10">
      <x:c r="A10" s="53"/>
      <x:c r="B10" s="53"/>
      <x:c r="C10" s="53"/>
      <x:c r="D10" s="53"/>
      <x:c r="E10" s="53"/>
      <x:c r="F10" s="67"/>
      <x:c r="G10" s="67"/>
      <x:c r="H10" s="67"/>
      <x:c r="I10" s="53"/>
      <x:c r="J10" s="53"/>
      <x:c r="K10" s="53"/>
      <x:c r="L10" s="53"/>
      <x:c r="M10" s="53"/>
      <x:c r="N10" s="53"/>
    </x:row>
    <x:row r="11">
      <x:c r="A11" s="53"/>
      <x:c r="B11" s="53"/>
      <x:c r="C11" s="53"/>
      <x:c r="D11" s="53"/>
      <x:c r="E11" s="53"/>
      <x:c r="F11" s="67"/>
      <x:c r="G11" s="67"/>
      <x:c r="H11" s="67"/>
      <x:c r="I11" s="53"/>
      <x:c r="J11" s="53"/>
      <x:c r="K11" s="53"/>
      <x:c r="L11" s="53"/>
      <x:c r="M11" s="53"/>
      <x:c r="N11" s="53"/>
    </x:row>
    <x:row r="12">
      <x:c r="A12" s="53"/>
      <x:c r="B12" s="53"/>
      <x:c r="C12" s="53"/>
      <x:c r="D12" s="53"/>
      <x:c r="E12" s="53"/>
      <x:c r="F12" s="67"/>
      <x:c r="G12" s="67"/>
      <x:c r="H12" s="67"/>
      <x:c r="I12" s="53"/>
      <x:c r="J12" s="53"/>
      <x:c r="K12" s="53"/>
      <x:c r="L12" s="53"/>
      <x:c r="M12" s="53"/>
      <x:c r="N12" s="53"/>
    </x:row>
    <x:row r="13">
      <x:c r="A13" s="53"/>
      <x:c r="B13" s="53"/>
      <x:c r="C13" s="53"/>
      <x:c r="D13" s="53"/>
      <x:c r="E13" s="53"/>
      <x:c r="F13" s="67"/>
      <x:c r="G13" s="67"/>
      <x:c r="H13" s="67"/>
      <x:c r="I13" s="53"/>
      <x:c r="J13" s="53"/>
      <x:c r="K13" s="53"/>
      <x:c r="L13" s="53"/>
      <x:c r="M13" s="53"/>
      <x:c r="N13" s="53"/>
    </x:row>
    <x:row r="14">
      <x:c r="A14" s="53"/>
      <x:c r="B14" s="53"/>
      <x:c r="C14" s="53"/>
      <x:c r="D14" s="53"/>
      <x:c r="E14" s="53"/>
      <x:c r="F14" s="67"/>
      <x:c r="G14" s="67"/>
      <x:c r="H14" s="67"/>
      <x:c r="I14" s="53"/>
      <x:c r="J14" s="53"/>
      <x:c r="K14" s="53"/>
      <x:c r="L14" s="53"/>
      <x:c r="M14" s="53"/>
      <x:c r="N14" s="53"/>
    </x:row>
    <x:row r="15">
      <x:c r="A15" s="53"/>
      <x:c r="B15" s="53"/>
      <x:c r="C15" s="53"/>
      <x:c r="D15" s="53"/>
      <x:c r="E15" s="53"/>
      <x:c r="F15" s="67"/>
      <x:c r="G15" s="67"/>
      <x:c r="H15" s="67"/>
      <x:c r="I15" s="53"/>
      <x:c r="J15" s="53"/>
      <x:c r="K15" s="53"/>
      <x:c r="L15" s="53"/>
      <x:c r="M15" s="53"/>
      <x:c r="N15" s="53"/>
    </x:row>
    <x:row r="16">
      <x:c r="A16" s="53"/>
      <x:c r="B16" s="53"/>
      <x:c r="C16" s="53"/>
      <x:c r="D16" s="53"/>
      <x:c r="E16" s="53"/>
      <x:c r="F16" s="67"/>
      <x:c r="G16" s="67"/>
      <x:c r="H16" s="67"/>
      <x:c r="I16" s="53"/>
      <x:c r="J16" s="53"/>
      <x:c r="K16" s="53"/>
      <x:c r="L16" s="53"/>
      <x:c r="M16" s="53"/>
      <x:c r="N16" s="53"/>
    </x:row>
    <x:row r="17">
      <x:c r="A17" s="53"/>
      <x:c r="B17" s="53"/>
      <x:c r="C17" s="53"/>
      <x:c r="D17" s="53"/>
      <x:c r="E17" s="53"/>
      <x:c r="F17" s="67"/>
      <x:c r="G17" s="67"/>
      <x:c r="H17" s="67"/>
      <x:c r="I17" s="53"/>
      <x:c r="J17" s="53"/>
      <x:c r="K17" s="53"/>
      <x:c r="L17" s="53"/>
      <x:c r="M17" s="53"/>
      <x:c r="N17" s="53"/>
    </x:row>
    <x:row r="18">
      <x:c r="A18" s="53"/>
      <x:c r="B18" s="53"/>
      <x:c r="C18" s="53"/>
      <x:c r="D18" s="53"/>
      <x:c r="E18" s="53"/>
      <x:c r="F18" s="67"/>
      <x:c r="G18" s="67"/>
      <x:c r="H18" s="67"/>
      <x:c r="I18" s="53"/>
      <x:c r="J18" s="53"/>
      <x:c r="K18" s="53"/>
      <x:c r="L18" s="53"/>
      <x:c r="M18" s="53"/>
      <x:c r="N18" s="53"/>
    </x:row>
    <x:row r="19">
      <x:c r="A19" s="8"/>
      <x:c r="B19" s="8"/>
      <x:c r="C19" s="8"/>
      <x:c r="D19" s="8"/>
      <x:c r="E19" s="8"/>
      <x:c r="F19" s="68"/>
      <x:c r="G19" s="68"/>
      <x:c r="H19" s="68"/>
      <x:c r="I19" s="8"/>
      <x:c r="J19" s="8"/>
      <x:c r="K19" s="8"/>
      <x:c r="L19" s="8"/>
      <x:c r="M19" s="8"/>
      <x:c r="N19" s="8"/>
    </x:row>
    <x:row r="20">
      <x:c r="A20" s="8"/>
      <x:c r="B20" s="8"/>
      <x:c r="C20" s="8"/>
      <x:c r="D20" s="8"/>
      <x:c r="E20" s="8"/>
      <x:c r="F20" s="68"/>
      <x:c r="G20" s="68"/>
      <x:c r="H20" s="68"/>
      <x:c r="I20" s="8"/>
      <x:c r="J20" s="8"/>
      <x:c r="K20" s="8"/>
      <x:c r="L20" s="8"/>
      <x:c r="M20" s="8"/>
      <x:c r="N20" s="8"/>
    </x:row>
    <x:row r="21">
      <x:c r="A21" s="8"/>
      <x:c r="B21" s="8"/>
      <x:c r="C21" s="8"/>
      <x:c r="D21" s="8"/>
      <x:c r="E21" s="8"/>
      <x:c r="F21" s="68"/>
      <x:c r="G21" s="68"/>
      <x:c r="H21" s="68"/>
      <x:c r="I21" s="8"/>
      <x:c r="J21" s="8"/>
      <x:c r="K21" s="8"/>
      <x:c r="L21" s="8"/>
      <x:c r="M21" s="8"/>
      <x:c r="N21" s="8"/>
    </x:row>
    <x:row r="22">
      <x:c r="A22" s="8"/>
      <x:c r="B22" s="8"/>
      <x:c r="C22" s="8"/>
      <x:c r="D22" s="8"/>
      <x:c r="E22" s="8"/>
      <x:c r="F22" s="68"/>
      <x:c r="G22" s="68"/>
      <x:c r="H22" s="68"/>
      <x:c r="I22" s="8"/>
      <x:c r="J22" s="8"/>
      <x:c r="K22" s="8"/>
      <x:c r="L22" s="8"/>
      <x:c r="M22" s="8"/>
      <x:c r="N22" s="8"/>
    </x:row>
    <x:row r="23">
      <x:c r="A23" s="8"/>
      <x:c r="B23" s="8"/>
      <x:c r="C23" s="8"/>
      <x:c r="D23" s="8"/>
      <x:c r="E23" s="8"/>
      <x:c r="F23" s="68"/>
      <x:c r="G23" s="68"/>
      <x:c r="H23" s="68"/>
      <x:c r="I23" s="8"/>
      <x:c r="J23" s="8"/>
      <x:c r="K23" s="8"/>
      <x:c r="L23" s="8"/>
      <x:c r="M23" s="8"/>
      <x:c r="N23" s="8"/>
    </x:row>
    <x:row r="24">
      <x:c r="A24" s="8"/>
      <x:c r="B24" s="8"/>
      <x:c r="C24" s="8"/>
      <x:c r="D24" s="8"/>
      <x:c r="E24" s="8"/>
      <x:c r="F24" s="68"/>
      <x:c r="G24" s="68"/>
      <x:c r="H24" s="68"/>
      <x:c r="I24" s="8"/>
      <x:c r="J24" s="8"/>
      <x:c r="K24" s="8"/>
      <x:c r="L24" s="8"/>
      <x:c r="M24" s="8"/>
      <x:c r="N24" s="8"/>
    </x:row>
    <x:row r="25">
      <x:c r="A25" s="8"/>
      <x:c r="B25" s="8"/>
      <x:c r="C25" s="8"/>
      <x:c r="D25" s="8"/>
      <x:c r="E25" s="8"/>
      <x:c r="F25" s="68"/>
      <x:c r="G25" s="68"/>
      <x:c r="H25" s="68"/>
      <x:c r="I25" s="8"/>
      <x:c r="J25" s="8"/>
      <x:c r="K25" s="8"/>
      <x:c r="L25" s="8"/>
      <x:c r="M25" s="8"/>
      <x:c r="N25" s="8"/>
    </x:row>
    <x:row r="26">
      <x:c r="A26" s="8"/>
      <x:c r="B26" s="8"/>
      <x:c r="C26" s="8"/>
      <x:c r="D26" s="8"/>
      <x:c r="E26" s="8"/>
      <x:c r="F26" s="68"/>
      <x:c r="G26" s="68"/>
      <x:c r="H26" s="68"/>
      <x:c r="I26" s="8"/>
      <x:c r="J26" s="8"/>
      <x:c r="K26" s="8"/>
      <x:c r="L26" s="8"/>
      <x:c r="M26" s="8"/>
      <x:c r="N26" s="8"/>
    </x:row>
    <x:row r="27">
      <x:c r="A27" s="8"/>
      <x:c r="B27" s="8"/>
      <x:c r="C27" s="8"/>
      <x:c r="D27" s="8"/>
      <x:c r="E27" s="8"/>
      <x:c r="F27" s="68"/>
      <x:c r="G27" s="68"/>
      <x:c r="H27" s="68"/>
      <x:c r="I27" s="8"/>
      <x:c r="J27" s="8"/>
      <x:c r="K27" s="8"/>
      <x:c r="L27" s="8"/>
      <x:c r="M27" s="8"/>
      <x:c r="N27" s="8"/>
    </x:row>
    <x:row r="28">
      <x:c r="A28" s="8"/>
      <x:c r="B28" s="8"/>
      <x:c r="C28" s="8"/>
      <x:c r="D28" s="8"/>
      <x:c r="E28" s="8"/>
      <x:c r="F28" s="68"/>
      <x:c r="G28" s="68"/>
      <x:c r="H28" s="68"/>
      <x:c r="I28" s="8"/>
      <x:c r="J28" s="8"/>
      <x:c r="K28" s="8"/>
      <x:c r="L28" s="8"/>
      <x:c r="M28" s="8"/>
      <x:c r="N28" s="8"/>
    </x:row>
    <x:row r="29">
      <x:c r="A29" s="8"/>
      <x:c r="B29" s="8"/>
      <x:c r="C29" s="8"/>
      <x:c r="D29" s="8"/>
      <x:c r="E29" s="8"/>
      <x:c r="F29" s="68"/>
      <x:c r="G29" s="68"/>
      <x:c r="H29" s="68"/>
      <x:c r="I29" s="8"/>
      <x:c r="J29" s="8"/>
      <x:c r="K29" s="8"/>
      <x:c r="L29" s="8"/>
      <x:c r="M29" s="8"/>
      <x:c r="N29" s="8"/>
    </x:row>
    <x:row r="30">
      <x:c r="A30" s="8"/>
      <x:c r="B30" s="8"/>
      <x:c r="C30" s="8"/>
      <x:c r="D30" s="8"/>
      <x:c r="E30" s="8"/>
      <x:c r="F30" s="68"/>
      <x:c r="G30" s="68"/>
      <x:c r="H30" s="68"/>
      <x:c r="I30" s="8"/>
      <x:c r="J30" s="8"/>
      <x:c r="K30" s="8"/>
      <x:c r="L30" s="8"/>
      <x:c r="M30" s="8"/>
      <x:c r="N30" s="8"/>
    </x:row>
    <x:row r="31">
      <x:c r="A31" s="8"/>
      <x:c r="B31" s="8"/>
      <x:c r="C31" s="8"/>
      <x:c r="D31" s="8"/>
      <x:c r="E31" s="8"/>
      <x:c r="F31" s="68"/>
      <x:c r="G31" s="68"/>
      <x:c r="H31" s="68"/>
      <x:c r="I31" s="8"/>
      <x:c r="J31" s="8"/>
      <x:c r="K31" s="8"/>
      <x:c r="L31" s="8"/>
      <x:c r="M31" s="8"/>
      <x:c r="N31" s="8"/>
    </x:row>
    <x:row r="32">
      <x:c r="A32" s="8"/>
      <x:c r="B32" s="8"/>
      <x:c r="C32" s="8"/>
      <x:c r="D32" s="8"/>
      <x:c r="E32" s="8"/>
      <x:c r="F32" s="68"/>
      <x:c r="G32" s="68"/>
      <x:c r="H32" s="68"/>
      <x:c r="I32" s="8"/>
      <x:c r="J32" s="8"/>
      <x:c r="K32" s="8"/>
      <x:c r="L32" s="8"/>
      <x:c r="M32" s="8"/>
      <x:c r="N32" s="8"/>
    </x:row>
    <x:row r="33">
      <x:c r="A33" s="8"/>
      <x:c r="B33" s="8"/>
      <x:c r="C33" s="8"/>
      <x:c r="D33" s="8"/>
      <x:c r="E33" s="8"/>
      <x:c r="F33" s="68"/>
      <x:c r="G33" s="68"/>
      <x:c r="H33" s="68"/>
      <x:c r="I33" s="8"/>
      <x:c r="J33" s="8"/>
      <x:c r="K33" s="8"/>
      <x:c r="L33" s="8"/>
      <x:c r="M33" s="8"/>
      <x:c r="N33" s="8"/>
    </x:row>
    <x:row r="34">
      <x:c r="A34" s="8"/>
      <x:c r="B34" s="8"/>
      <x:c r="C34" s="8"/>
      <x:c r="D34" s="8"/>
      <x:c r="E34" s="8"/>
      <x:c r="F34" s="68"/>
      <x:c r="G34" s="68"/>
      <x:c r="H34" s="68"/>
      <x:c r="I34" s="8"/>
      <x:c r="J34" s="8"/>
      <x:c r="K34" s="8"/>
      <x:c r="L34" s="8"/>
      <x:c r="M34" s="8"/>
      <x:c r="N34" s="8"/>
    </x:row>
    <x:row r="35">
      <x:c r="A35" s="8"/>
      <x:c r="B35" s="8"/>
      <x:c r="C35" s="8"/>
      <x:c r="D35" s="8"/>
      <x:c r="E35" s="8"/>
      <x:c r="F35" s="68"/>
      <x:c r="G35" s="68"/>
      <x:c r="H35" s="68"/>
      <x:c r="I35" s="8"/>
      <x:c r="J35" s="8"/>
      <x:c r="K35" s="8"/>
      <x:c r="L35" s="8"/>
      <x:c r="M35" s="8"/>
      <x:c r="N35" s="8"/>
    </x:row>
    <x:row r="36">
      <x:c r="A36" s="8"/>
      <x:c r="B36" s="8"/>
      <x:c r="C36" s="8"/>
      <x:c r="D36" s="8"/>
      <x:c r="E36" s="8"/>
      <x:c r="F36" s="68"/>
      <x:c r="G36" s="68"/>
      <x:c r="H36" s="68"/>
      <x:c r="I36" s="8"/>
      <x:c r="J36" s="8"/>
      <x:c r="K36" s="8"/>
      <x:c r="L36" s="8"/>
      <x:c r="M36" s="8"/>
      <x:c r="N36" s="8"/>
    </x:row>
    <x:row r="37">
      <x:c r="A37" s="8"/>
      <x:c r="B37" s="8"/>
      <x:c r="C37" s="8"/>
      <x:c r="D37" s="8"/>
      <x:c r="E37" s="8"/>
      <x:c r="F37" s="68"/>
      <x:c r="G37" s="68"/>
      <x:c r="H37" s="68"/>
      <x:c r="I37" s="8"/>
      <x:c r="J37" s="8"/>
      <x:c r="K37" s="8"/>
      <x:c r="L37" s="8"/>
      <x:c r="M37" s="8"/>
      <x:c r="N37" s="8"/>
    </x:row>
    <x:row r="38">
      <x:c r="A38" s="8"/>
      <x:c r="B38" s="8"/>
      <x:c r="C38" s="8"/>
      <x:c r="D38" s="8"/>
      <x:c r="E38" s="8"/>
      <x:c r="F38" s="68"/>
      <x:c r="G38" s="68"/>
      <x:c r="H38" s="68"/>
      <x:c r="I38" s="8"/>
      <x:c r="J38" s="8"/>
      <x:c r="K38" s="8"/>
      <x:c r="L38" s="8"/>
      <x:c r="M38" s="8"/>
      <x:c r="N38" s="8"/>
    </x:row>
    <x:row r="39">
      <x:c r="A39" s="8"/>
      <x:c r="B39" s="8"/>
      <x:c r="C39" s="8"/>
      <x:c r="D39" s="8"/>
      <x:c r="E39" s="8"/>
      <x:c r="F39" s="68"/>
      <x:c r="G39" s="68"/>
      <x:c r="H39" s="68"/>
      <x:c r="I39" s="8"/>
      <x:c r="J39" s="8"/>
      <x:c r="K39" s="8"/>
      <x:c r="L39" s="8"/>
      <x:c r="M39" s="8"/>
      <x:c r="N39" s="8"/>
    </x:row>
    <x:row r="40">
      <x:c r="A40" s="8"/>
      <x:c r="B40" s="8"/>
      <x:c r="C40" s="8"/>
      <x:c r="D40" s="8"/>
      <x:c r="E40" s="8"/>
      <x:c r="F40" s="68"/>
      <x:c r="G40" s="68"/>
      <x:c r="H40" s="68"/>
      <x:c r="I40" s="8"/>
      <x:c r="J40" s="8"/>
      <x:c r="K40" s="8"/>
      <x:c r="L40" s="8"/>
      <x:c r="M40" s="8"/>
      <x:c r="N40" s="8"/>
    </x:row>
    <x:row r="41">
      <x:c r="A41" s="8"/>
      <x:c r="B41" s="8"/>
      <x:c r="C41" s="8"/>
      <x:c r="D41" s="8"/>
      <x:c r="E41" s="8"/>
      <x:c r="F41" s="68"/>
      <x:c r="G41" s="68"/>
      <x:c r="H41" s="68"/>
      <x:c r="I41" s="8"/>
      <x:c r="J41" s="8"/>
      <x:c r="K41" s="8"/>
      <x:c r="L41" s="8"/>
      <x:c r="M41" s="8"/>
      <x:c r="N41" s="8"/>
    </x:row>
    <x:row r="42">
      <x:c r="A42" s="8"/>
      <x:c r="B42" s="8"/>
      <x:c r="C42" s="8"/>
      <x:c r="D42" s="8"/>
      <x:c r="E42" s="8"/>
      <x:c r="F42" s="68"/>
      <x:c r="G42" s="68"/>
      <x:c r="H42" s="68"/>
      <x:c r="I42" s="8"/>
      <x:c r="J42" s="8"/>
      <x:c r="K42" s="8"/>
      <x:c r="L42" s="8"/>
      <x:c r="M42" s="8"/>
      <x:c r="N42" s="8"/>
    </x:row>
    <x:row r="43">
      <x:c r="A43" s="8"/>
      <x:c r="B43" s="8"/>
      <x:c r="C43" s="8"/>
      <x:c r="D43" s="8"/>
      <x:c r="E43" s="8"/>
      <x:c r="F43" s="68"/>
      <x:c r="G43" s="68"/>
      <x:c r="H43" s="68"/>
      <x:c r="I43" s="8"/>
      <x:c r="J43" s="8"/>
      <x:c r="K43" s="8"/>
      <x:c r="L43" s="8"/>
      <x:c r="M43" s="8"/>
      <x:c r="N43" s="8"/>
    </x:row>
    <x:row r="44">
      <x:c r="A44" s="8"/>
      <x:c r="B44" s="8"/>
      <x:c r="C44" s="8"/>
      <x:c r="D44" s="8"/>
      <x:c r="E44" s="8"/>
      <x:c r="F44" s="68"/>
      <x:c r="G44" s="68"/>
      <x:c r="H44" s="68"/>
      <x:c r="I44" s="8"/>
      <x:c r="J44" s="8"/>
      <x:c r="K44" s="8"/>
      <x:c r="L44" s="8"/>
      <x:c r="M44" s="8"/>
      <x:c r="N44" s="8"/>
    </x:row>
    <x:row r="45">
      <x:c r="A45" s="8"/>
      <x:c r="B45" s="8"/>
      <x:c r="C45" s="8"/>
      <x:c r="D45" s="8"/>
      <x:c r="E45" s="8"/>
      <x:c r="F45" s="68"/>
      <x:c r="G45" s="68"/>
      <x:c r="H45" s="68"/>
      <x:c r="I45" s="8"/>
      <x:c r="J45" s="8"/>
      <x:c r="K45" s="8"/>
      <x:c r="L45" s="8"/>
      <x:c r="M45" s="8"/>
      <x:c r="N45" s="8"/>
    </x:row>
    <x:row r="46">
      <x:c r="A46" s="8"/>
      <x:c r="B46" s="8"/>
      <x:c r="C46" s="8"/>
      <x:c r="D46" s="8"/>
      <x:c r="E46" s="8"/>
      <x:c r="F46" s="68"/>
      <x:c r="G46" s="68"/>
      <x:c r="H46" s="68"/>
      <x:c r="I46" s="8"/>
      <x:c r="J46" s="8"/>
      <x:c r="K46" s="8"/>
      <x:c r="L46" s="8"/>
      <x:c r="M46" s="8"/>
      <x:c r="N46" s="8"/>
    </x:row>
    <x:row r="47">
      <x:c r="A47" s="8"/>
      <x:c r="B47" s="8"/>
      <x:c r="C47" s="8"/>
      <x:c r="D47" s="8"/>
      <x:c r="E47" s="8"/>
      <x:c r="F47" s="68"/>
      <x:c r="G47" s="68"/>
      <x:c r="H47" s="68"/>
      <x:c r="I47" s="8"/>
      <x:c r="J47" s="8"/>
      <x:c r="K47" s="8"/>
      <x:c r="L47" s="8"/>
      <x:c r="M47" s="8"/>
      <x:c r="N47" s="8"/>
    </x:row>
    <x:row r="48">
      <x:c r="A48" s="8"/>
      <x:c r="B48" s="8"/>
      <x:c r="C48" s="8"/>
      <x:c r="D48" s="8"/>
      <x:c r="E48" s="8"/>
      <x:c r="F48" s="68"/>
      <x:c r="G48" s="68"/>
      <x:c r="H48" s="68"/>
      <x:c r="I48" s="8"/>
      <x:c r="J48" s="8"/>
      <x:c r="K48" s="8"/>
      <x:c r="L48" s="8"/>
      <x:c r="M48" s="8"/>
      <x:c r="N48" s="8"/>
    </x:row>
    <x:row r="49">
      <x:c r="A49" s="8"/>
      <x:c r="B49" s="8"/>
      <x:c r="C49" s="8"/>
      <x:c r="D49" s="8"/>
      <x:c r="E49" s="8"/>
      <x:c r="F49" s="68"/>
      <x:c r="G49" s="68"/>
      <x:c r="H49" s="68"/>
      <x:c r="I49" s="8"/>
      <x:c r="J49" s="8"/>
      <x:c r="K49" s="8"/>
      <x:c r="L49" s="8"/>
      <x:c r="M49" s="8"/>
      <x:c r="N49" s="8"/>
    </x:row>
    <x:row r="50">
      <x:c r="A50" s="8"/>
      <x:c r="B50" s="8"/>
      <x:c r="C50" s="8"/>
      <x:c r="D50" s="8"/>
      <x:c r="E50" s="8"/>
      <x:c r="F50" s="68"/>
      <x:c r="G50" s="68"/>
      <x:c r="H50" s="68"/>
      <x:c r="I50" s="8"/>
      <x:c r="J50" s="8"/>
      <x:c r="K50" s="8"/>
      <x:c r="L50" s="8"/>
      <x:c r="M50" s="8"/>
      <x:c r="N50" s="8"/>
    </x:row>
    <x:row r="51">
      <x:c r="A51" s="8"/>
      <x:c r="B51" s="8"/>
      <x:c r="C51" s="8"/>
      <x:c r="D51" s="8"/>
      <x:c r="E51" s="8"/>
      <x:c r="F51" s="68"/>
      <x:c r="G51" s="68"/>
      <x:c r="H51" s="68"/>
      <x:c r="I51" s="8"/>
      <x:c r="J51" s="8"/>
      <x:c r="K51" s="8"/>
      <x:c r="L51" s="8"/>
      <x:c r="M51" s="8"/>
      <x:c r="N51" s="8"/>
    </x:row>
    <x:row r="52">
      <x:c r="A52" s="8"/>
      <x:c r="B52" s="8"/>
      <x:c r="C52" s="8"/>
      <x:c r="D52" s="8"/>
      <x:c r="E52" s="8"/>
      <x:c r="F52" s="68"/>
      <x:c r="G52" s="68"/>
      <x:c r="H52" s="68"/>
      <x:c r="I52" s="8"/>
      <x:c r="J52" s="8"/>
      <x:c r="K52" s="8"/>
      <x:c r="L52" s="8"/>
      <x:c r="M52" s="8"/>
      <x:c r="N52" s="8"/>
    </x:row>
    <x:row r="53">
      <x:c r="A53" s="8"/>
      <x:c r="B53" s="8"/>
      <x:c r="C53" s="8"/>
      <x:c r="D53" s="8"/>
      <x:c r="E53" s="8"/>
      <x:c r="F53" s="68"/>
      <x:c r="G53" s="68"/>
      <x:c r="H53" s="68"/>
      <x:c r="I53" s="8"/>
      <x:c r="J53" s="8"/>
      <x:c r="K53" s="8"/>
      <x:c r="L53" s="8"/>
      <x:c r="M53" s="8"/>
      <x:c r="N53" s="8"/>
    </x:row>
    <x:row r="54">
      <x:c r="A54" s="8"/>
      <x:c r="B54" s="8"/>
      <x:c r="C54" s="8"/>
      <x:c r="D54" s="8"/>
      <x:c r="E54" s="8"/>
      <x:c r="F54" s="68"/>
      <x:c r="G54" s="68"/>
      <x:c r="H54" s="68"/>
      <x:c r="I54" s="8"/>
      <x:c r="J54" s="8"/>
      <x:c r="K54" s="8"/>
      <x:c r="L54" s="8"/>
      <x:c r="M54" s="8"/>
      <x:c r="N54" s="8"/>
    </x:row>
    <x:row r="55">
      <x:c r="A55" s="8"/>
      <x:c r="B55" s="8"/>
      <x:c r="C55" s="8"/>
      <x:c r="D55" s="8"/>
      <x:c r="E55" s="8"/>
      <x:c r="F55" s="68"/>
      <x:c r="G55" s="68"/>
      <x:c r="H55" s="68"/>
      <x:c r="I55" s="8"/>
      <x:c r="J55" s="8"/>
      <x:c r="K55" s="8"/>
      <x:c r="L55" s="8"/>
      <x:c r="M55" s="8"/>
      <x:c r="N55" s="8"/>
    </x:row>
    <x:row r="56">
      <x:c r="A56" s="8"/>
      <x:c r="B56" s="8"/>
      <x:c r="C56" s="8"/>
      <x:c r="D56" s="8"/>
      <x:c r="E56" s="8"/>
      <x:c r="F56" s="68"/>
      <x:c r="G56" s="68"/>
      <x:c r="H56" s="68"/>
      <x:c r="I56" s="8"/>
      <x:c r="J56" s="8"/>
      <x:c r="K56" s="8"/>
      <x:c r="L56" s="8"/>
      <x:c r="M56" s="8"/>
      <x:c r="N56" s="8"/>
    </x:row>
    <x:row r="57">
      <x:c r="A57" s="8"/>
      <x:c r="B57" s="8"/>
      <x:c r="C57" s="8"/>
      <x:c r="D57" s="8"/>
      <x:c r="E57" s="8"/>
      <x:c r="F57" s="68"/>
      <x:c r="G57" s="68"/>
      <x:c r="H57" s="68"/>
      <x:c r="I57" s="8"/>
      <x:c r="J57" s="8"/>
      <x:c r="K57" s="8"/>
      <x:c r="L57" s="8"/>
      <x:c r="M57" s="8"/>
      <x:c r="N57" s="8"/>
    </x:row>
    <x:row r="58">
      <x:c r="A58" s="8"/>
      <x:c r="B58" s="8"/>
      <x:c r="C58" s="8"/>
      <x:c r="D58" s="8"/>
      <x:c r="E58" s="8"/>
      <x:c r="F58" s="68"/>
      <x:c r="G58" s="68"/>
      <x:c r="H58" s="68"/>
      <x:c r="I58" s="8"/>
      <x:c r="J58" s="8"/>
      <x:c r="K58" s="8"/>
      <x:c r="L58" s="8"/>
      <x:c r="M58" s="8"/>
      <x:c r="N58" s="8"/>
    </x:row>
    <x:row r="59">
      <x:c r="A59" s="8"/>
      <x:c r="B59" s="8"/>
      <x:c r="C59" s="8"/>
      <x:c r="D59" s="8"/>
      <x:c r="E59" s="8"/>
      <x:c r="F59" s="68"/>
      <x:c r="G59" s="68"/>
      <x:c r="H59" s="68"/>
      <x:c r="I59" s="8"/>
      <x:c r="J59" s="8"/>
      <x:c r="K59" s="8"/>
      <x:c r="L59" s="8"/>
      <x:c r="M59" s="8"/>
      <x:c r="N59" s="8"/>
    </x:row>
    <x:row r="60">
      <x:c r="A60" s="8"/>
      <x:c r="B60" s="8"/>
      <x:c r="C60" s="8"/>
      <x:c r="D60" s="8"/>
      <x:c r="E60" s="8"/>
      <x:c r="F60" s="68"/>
      <x:c r="G60" s="68"/>
      <x:c r="H60" s="68"/>
      <x:c r="I60" s="8"/>
      <x:c r="J60" s="8"/>
      <x:c r="K60" s="8"/>
      <x:c r="L60" s="8"/>
      <x:c r="M60" s="8"/>
      <x:c r="N60" s="8"/>
    </x:row>
    <x:row r="61">
      <x:c r="A61" s="8"/>
      <x:c r="B61" s="8"/>
      <x:c r="C61" s="8"/>
      <x:c r="D61" s="8"/>
      <x:c r="E61" s="8"/>
      <x:c r="F61" s="68"/>
      <x:c r="G61" s="68"/>
      <x:c r="H61" s="68"/>
      <x:c r="I61" s="8"/>
      <x:c r="J61" s="8"/>
      <x:c r="K61" s="8"/>
      <x:c r="L61" s="8"/>
      <x:c r="M61" s="8"/>
      <x:c r="N61" s="8"/>
    </x:row>
    <x:row r="62">
      <x:c r="A62" s="8"/>
      <x:c r="B62" s="8"/>
      <x:c r="C62" s="8"/>
      <x:c r="D62" s="8"/>
      <x:c r="E62" s="8"/>
      <x:c r="F62" s="68"/>
      <x:c r="G62" s="68"/>
      <x:c r="H62" s="68"/>
      <x:c r="I62" s="8"/>
      <x:c r="J62" s="8"/>
      <x:c r="K62" s="8"/>
      <x:c r="L62" s="8"/>
      <x:c r="M62" s="8"/>
      <x:c r="N62" s="8"/>
    </x:row>
    <x:row r="63">
      <x:c r="A63" s="8"/>
      <x:c r="B63" s="8"/>
      <x:c r="C63" s="8"/>
      <x:c r="D63" s="8"/>
      <x:c r="E63" s="8"/>
      <x:c r="F63" s="68"/>
      <x:c r="G63" s="68"/>
      <x:c r="H63" s="68"/>
      <x:c r="I63" s="8"/>
      <x:c r="J63" s="8"/>
      <x:c r="K63" s="8"/>
      <x:c r="L63" s="8"/>
      <x:c r="M63" s="8"/>
      <x:c r="N63" s="8"/>
    </x:row>
    <x:row r="64">
      <x:c r="A64" s="8"/>
      <x:c r="B64" s="8"/>
      <x:c r="C64" s="8"/>
      <x:c r="D64" s="8"/>
      <x:c r="E64" s="8"/>
      <x:c r="F64" s="68"/>
      <x:c r="G64" s="68"/>
      <x:c r="H64" s="68"/>
      <x:c r="I64" s="8"/>
      <x:c r="J64" s="8"/>
      <x:c r="K64" s="8"/>
      <x:c r="L64" s="8"/>
      <x:c r="M64" s="8"/>
      <x:c r="N64" s="8"/>
    </x:row>
    <x:row r="65">
      <x:c r="A65" s="8"/>
      <x:c r="B65" s="8"/>
      <x:c r="C65" s="8"/>
      <x:c r="D65" s="8"/>
      <x:c r="E65" s="8"/>
      <x:c r="F65" s="68"/>
      <x:c r="G65" s="68"/>
      <x:c r="H65" s="68"/>
      <x:c r="I65" s="8"/>
      <x:c r="J65" s="8"/>
      <x:c r="K65" s="8"/>
      <x:c r="L65" s="8"/>
      <x:c r="M65" s="8"/>
      <x:c r="N65" s="8"/>
    </x:row>
    <x:row r="66">
      <x:c r="A66" s="8"/>
      <x:c r="B66" s="8"/>
      <x:c r="C66" s="8"/>
      <x:c r="D66" s="8"/>
      <x:c r="E66" s="8"/>
      <x:c r="F66" s="68"/>
      <x:c r="G66" s="68"/>
      <x:c r="H66" s="68"/>
      <x:c r="I66" s="8"/>
      <x:c r="J66" s="8"/>
      <x:c r="K66" s="8"/>
      <x:c r="L66" s="8"/>
      <x:c r="M66" s="8"/>
      <x:c r="N66" s="8"/>
    </x:row>
    <x:row r="67">
      <x:c r="A67" s="8"/>
      <x:c r="B67" s="8"/>
      <x:c r="C67" s="8"/>
      <x:c r="D67" s="8"/>
      <x:c r="E67" s="8"/>
      <x:c r="F67" s="68"/>
      <x:c r="G67" s="68"/>
      <x:c r="H67" s="68"/>
      <x:c r="I67" s="8"/>
      <x:c r="J67" s="8"/>
      <x:c r="K67" s="8"/>
      <x:c r="L67" s="8"/>
      <x:c r="M67" s="8"/>
      <x:c r="N67" s="8"/>
    </x:row>
    <x:row r="68">
      <x:c r="A68" s="8"/>
      <x:c r="B68" s="8"/>
      <x:c r="C68" s="8"/>
      <x:c r="D68" s="8"/>
      <x:c r="E68" s="8"/>
      <x:c r="F68" s="68"/>
      <x:c r="G68" s="68"/>
      <x:c r="H68" s="68"/>
      <x:c r="I68" s="8"/>
      <x:c r="J68" s="8"/>
      <x:c r="K68" s="8"/>
      <x:c r="L68" s="8"/>
      <x:c r="M68" s="8"/>
      <x:c r="N68" s="8"/>
    </x:row>
    <x:row r="69">
      <x:c r="A69" s="8"/>
      <x:c r="B69" s="8"/>
      <x:c r="C69" s="8"/>
      <x:c r="D69" s="8"/>
      <x:c r="E69" s="8"/>
      <x:c r="F69" s="68"/>
      <x:c r="G69" s="68"/>
      <x:c r="H69" s="68"/>
      <x:c r="I69" s="8"/>
      <x:c r="J69" s="8"/>
      <x:c r="K69" s="8"/>
      <x:c r="L69" s="8"/>
      <x:c r="M69" s="8"/>
      <x:c r="N69" s="8"/>
    </x:row>
    <x:row r="70">
      <x:c r="A70" s="8"/>
      <x:c r="B70" s="8"/>
      <x:c r="C70" s="8"/>
      <x:c r="D70" s="8"/>
      <x:c r="E70" s="8"/>
      <x:c r="F70" s="68"/>
      <x:c r="G70" s="68"/>
      <x:c r="H70" s="68"/>
      <x:c r="I70" s="8"/>
      <x:c r="J70" s="8"/>
      <x:c r="K70" s="8"/>
      <x:c r="L70" s="8"/>
      <x:c r="M70" s="8"/>
      <x:c r="N70" s="8"/>
    </x:row>
    <x:row r="71">
      <x:c r="A71" s="8"/>
      <x:c r="B71" s="8"/>
      <x:c r="C71" s="8"/>
      <x:c r="D71" s="8"/>
      <x:c r="E71" s="8"/>
      <x:c r="F71" s="68"/>
      <x:c r="G71" s="68"/>
      <x:c r="H71" s="68"/>
      <x:c r="I71" s="8"/>
      <x:c r="J71" s="8"/>
      <x:c r="K71" s="8"/>
      <x:c r="L71" s="8"/>
      <x:c r="M71" s="8"/>
      <x:c r="N71" s="8"/>
    </x:row>
    <x:row r="72">
      <x:c r="A72" s="8"/>
      <x:c r="B72" s="8"/>
      <x:c r="C72" s="8"/>
      <x:c r="D72" s="8"/>
      <x:c r="E72" s="8"/>
      <x:c r="F72" s="68"/>
      <x:c r="G72" s="68"/>
      <x:c r="H72" s="68"/>
      <x:c r="I72" s="8"/>
      <x:c r="J72" s="8"/>
      <x:c r="K72" s="8"/>
      <x:c r="L72" s="8"/>
      <x:c r="M72" s="8"/>
      <x:c r="N72" s="8"/>
    </x:row>
    <x:row r="73">
      <x:c r="A73" s="8"/>
      <x:c r="B73" s="8"/>
      <x:c r="C73" s="8"/>
      <x:c r="D73" s="8"/>
      <x:c r="E73" s="8"/>
      <x:c r="F73" s="68"/>
      <x:c r="G73" s="68"/>
      <x:c r="H73" s="68"/>
      <x:c r="I73" s="8"/>
      <x:c r="J73" s="8"/>
      <x:c r="K73" s="8"/>
      <x:c r="L73" s="8"/>
      <x:c r="M73" s="8"/>
      <x:c r="N73" s="8"/>
    </x:row>
    <x:row r="74">
      <x:c r="A74" s="8"/>
      <x:c r="B74" s="8"/>
      <x:c r="C74" s="8"/>
      <x:c r="D74" s="8"/>
      <x:c r="E74" s="8"/>
      <x:c r="F74" s="68"/>
      <x:c r="G74" s="68"/>
      <x:c r="H74" s="68"/>
      <x:c r="I74" s="8"/>
      <x:c r="J74" s="8"/>
      <x:c r="K74" s="8"/>
      <x:c r="L74" s="8"/>
      <x:c r="M74" s="8"/>
      <x:c r="N74" s="8"/>
    </x:row>
    <x:row r="75">
      <x:c r="A75" s="8"/>
      <x:c r="B75" s="8"/>
      <x:c r="C75" s="8"/>
      <x:c r="D75" s="8"/>
      <x:c r="E75" s="8"/>
      <x:c r="F75" s="68"/>
      <x:c r="G75" s="68"/>
      <x:c r="H75" s="68"/>
      <x:c r="I75" s="8"/>
      <x:c r="J75" s="8"/>
      <x:c r="K75" s="8"/>
      <x:c r="L75" s="8"/>
      <x:c r="M75" s="8"/>
      <x:c r="N75" s="8"/>
    </x:row>
    <x:row r="76">
      <x:c r="A76" s="8"/>
      <x:c r="B76" s="8"/>
      <x:c r="C76" s="8"/>
      <x:c r="D76" s="8"/>
      <x:c r="E76" s="8"/>
      <x:c r="F76" s="68"/>
      <x:c r="G76" s="68"/>
      <x:c r="H76" s="68"/>
      <x:c r="I76" s="8"/>
      <x:c r="J76" s="8"/>
      <x:c r="K76" s="8"/>
      <x:c r="L76" s="8"/>
      <x:c r="M76" s="8"/>
      <x:c r="N76" s="8"/>
    </x:row>
    <x:row r="77">
      <x:c r="A77" s="8"/>
      <x:c r="B77" s="8"/>
      <x:c r="C77" s="8"/>
      <x:c r="D77" s="8"/>
      <x:c r="E77" s="8"/>
      <x:c r="F77" s="68"/>
      <x:c r="G77" s="68"/>
      <x:c r="H77" s="68"/>
      <x:c r="I77" s="8"/>
      <x:c r="J77" s="8"/>
      <x:c r="K77" s="8"/>
      <x:c r="L77" s="8"/>
      <x:c r="M77" s="8"/>
      <x:c r="N77" s="8"/>
    </x:row>
    <x:row r="78">
      <x:c r="A78" s="8"/>
      <x:c r="B78" s="8"/>
      <x:c r="C78" s="8"/>
      <x:c r="D78" s="8"/>
      <x:c r="E78" s="8"/>
      <x:c r="F78" s="68"/>
      <x:c r="G78" s="68"/>
      <x:c r="H78" s="68"/>
      <x:c r="I78" s="8"/>
      <x:c r="J78" s="8"/>
      <x:c r="K78" s="8"/>
      <x:c r="L78" s="8"/>
      <x:c r="M78" s="8"/>
      <x:c r="N78" s="8"/>
    </x:row>
    <x:row r="79">
      <x:c r="A79" s="8"/>
      <x:c r="B79" s="8"/>
      <x:c r="C79" s="8"/>
      <x:c r="D79" s="8"/>
      <x:c r="E79" s="8"/>
      <x:c r="F79" s="68"/>
      <x:c r="G79" s="68"/>
      <x:c r="H79" s="68"/>
      <x:c r="I79" s="8"/>
      <x:c r="J79" s="8"/>
      <x:c r="K79" s="8"/>
      <x:c r="L79" s="8"/>
      <x:c r="M79" s="8"/>
      <x:c r="N79" s="8"/>
    </x:row>
    <x:row r="80">
      <x:c r="A80" s="8"/>
      <x:c r="B80" s="8"/>
      <x:c r="C80" s="8"/>
      <x:c r="D80" s="8"/>
      <x:c r="E80" s="8"/>
      <x:c r="F80" s="68"/>
      <x:c r="G80" s="68"/>
      <x:c r="H80" s="68"/>
      <x:c r="I80" s="8"/>
      <x:c r="J80" s="8"/>
      <x:c r="K80" s="8"/>
      <x:c r="L80" s="8"/>
      <x:c r="M80" s="8"/>
      <x:c r="N80" s="8"/>
    </x:row>
    <x:row r="81">
      <x:c r="A81" s="8"/>
      <x:c r="B81" s="8"/>
      <x:c r="C81" s="8"/>
      <x:c r="D81" s="8"/>
      <x:c r="E81" s="8"/>
      <x:c r="F81" s="68"/>
      <x:c r="G81" s="68"/>
      <x:c r="H81" s="68"/>
      <x:c r="I81" s="8"/>
      <x:c r="J81" s="8"/>
      <x:c r="K81" s="8"/>
      <x:c r="L81" s="8"/>
      <x:c r="M81" s="8"/>
      <x:c r="N81" s="8"/>
    </x:row>
    <x:row r="82">
      <x:c r="A82" s="8"/>
      <x:c r="B82" s="8"/>
      <x:c r="C82" s="8"/>
      <x:c r="D82" s="8"/>
      <x:c r="E82" s="8"/>
      <x:c r="F82" s="68"/>
      <x:c r="G82" s="68"/>
      <x:c r="H82" s="68"/>
      <x:c r="I82" s="8"/>
      <x:c r="J82" s="8"/>
      <x:c r="K82" s="8"/>
      <x:c r="L82" s="8"/>
      <x:c r="M82" s="8"/>
      <x:c r="N82" s="8"/>
    </x:row>
    <x:row r="83">
      <x:c r="A83" s="8"/>
      <x:c r="B83" s="8"/>
      <x:c r="C83" s="8"/>
      <x:c r="D83" s="8"/>
      <x:c r="E83" s="8"/>
      <x:c r="F83" s="68"/>
      <x:c r="G83" s="68"/>
      <x:c r="H83" s="68"/>
      <x:c r="I83" s="8"/>
      <x:c r="J83" s="8"/>
      <x:c r="K83" s="8"/>
      <x:c r="L83" s="8"/>
      <x:c r="M83" s="8"/>
      <x:c r="N83" s="8"/>
    </x:row>
    <x:row r="84">
      <x:c r="A84" s="8"/>
      <x:c r="B84" s="8"/>
      <x:c r="C84" s="8"/>
      <x:c r="D84" s="8"/>
      <x:c r="E84" s="8"/>
      <x:c r="F84" s="68"/>
      <x:c r="G84" s="68"/>
      <x:c r="H84" s="68"/>
      <x:c r="I84" s="8"/>
      <x:c r="J84" s="8"/>
      <x:c r="K84" s="8"/>
      <x:c r="L84" s="8"/>
      <x:c r="M84" s="8"/>
      <x:c r="N84" s="8"/>
    </x:row>
    <x:row r="85">
      <x:c r="A85" s="8"/>
      <x:c r="B85" s="8"/>
      <x:c r="C85" s="8"/>
      <x:c r="D85" s="8"/>
      <x:c r="E85" s="8"/>
      <x:c r="F85" s="68"/>
      <x:c r="G85" s="68"/>
      <x:c r="H85" s="68"/>
      <x:c r="I85" s="8"/>
      <x:c r="J85" s="8"/>
      <x:c r="K85" s="8"/>
      <x:c r="L85" s="8"/>
      <x:c r="M85" s="8"/>
      <x:c r="N85" s="8"/>
    </x:row>
    <x:row r="86">
      <x:c r="A86" s="8"/>
      <x:c r="B86" s="8"/>
      <x:c r="C86" s="8"/>
      <x:c r="D86" s="8"/>
      <x:c r="E86" s="8"/>
      <x:c r="F86" s="68"/>
      <x:c r="G86" s="68"/>
      <x:c r="H86" s="68"/>
      <x:c r="I86" s="8"/>
      <x:c r="J86" s="8"/>
      <x:c r="K86" s="8"/>
      <x:c r="L86" s="8"/>
      <x:c r="M86" s="8"/>
      <x:c r="N86" s="8"/>
    </x:row>
    <x:row r="87">
      <x:c r="A87" s="8"/>
      <x:c r="B87" s="8"/>
      <x:c r="C87" s="8"/>
      <x:c r="D87" s="8"/>
      <x:c r="E87" s="8"/>
      <x:c r="F87" s="68"/>
      <x:c r="G87" s="68"/>
      <x:c r="H87" s="68"/>
      <x:c r="I87" s="8"/>
      <x:c r="J87" s="8"/>
      <x:c r="K87" s="8"/>
      <x:c r="L87" s="8"/>
      <x:c r="M87" s="8"/>
      <x:c r="N87" s="8"/>
    </x:row>
    <x:row r="88">
      <x:c r="A88" s="8"/>
      <x:c r="B88" s="8"/>
      <x:c r="C88" s="8"/>
      <x:c r="D88" s="8"/>
      <x:c r="E88" s="8"/>
      <x:c r="F88" s="68"/>
      <x:c r="G88" s="68"/>
      <x:c r="H88" s="68"/>
      <x:c r="I88" s="8"/>
      <x:c r="J88" s="8"/>
      <x:c r="K88" s="8"/>
      <x:c r="L88" s="8"/>
      <x:c r="M88" s="8"/>
      <x:c r="N88" s="8"/>
    </x:row>
    <x:row r="89">
      <x:c r="A89" s="8"/>
      <x:c r="B89" s="8"/>
      <x:c r="C89" s="8"/>
      <x:c r="D89" s="8"/>
      <x:c r="E89" s="8"/>
      <x:c r="F89" s="68"/>
      <x:c r="G89" s="68"/>
      <x:c r="H89" s="68"/>
      <x:c r="I89" s="8"/>
      <x:c r="J89" s="8"/>
      <x:c r="K89" s="8"/>
      <x:c r="L89" s="8"/>
      <x:c r="M89" s="8"/>
      <x:c r="N89" s="8"/>
    </x:row>
    <x:row r="90">
      <x:c r="A90" s="8"/>
      <x:c r="B90" s="8"/>
      <x:c r="C90" s="8"/>
      <x:c r="D90" s="8"/>
      <x:c r="E90" s="8"/>
      <x:c r="F90" s="68"/>
      <x:c r="G90" s="68"/>
      <x:c r="H90" s="68"/>
      <x:c r="I90" s="8"/>
      <x:c r="J90" s="8"/>
      <x:c r="K90" s="8"/>
      <x:c r="L90" s="8"/>
      <x:c r="M90" s="8"/>
      <x:c r="N90" s="8"/>
    </x:row>
    <x:row r="91">
      <x:c r="A91" s="8"/>
      <x:c r="B91" s="8"/>
      <x:c r="C91" s="8"/>
      <x:c r="D91" s="8"/>
      <x:c r="E91" s="8"/>
      <x:c r="F91" s="68"/>
      <x:c r="G91" s="68"/>
      <x:c r="H91" s="68"/>
      <x:c r="I91" s="8"/>
      <x:c r="J91" s="8"/>
      <x:c r="K91" s="8"/>
      <x:c r="L91" s="8"/>
      <x:c r="M91" s="8"/>
      <x:c r="N91" s="8"/>
    </x:row>
    <x:row r="92">
      <x:c r="A92" s="8"/>
      <x:c r="B92" s="8"/>
      <x:c r="C92" s="8"/>
      <x:c r="D92" s="8"/>
      <x:c r="E92" s="8"/>
      <x:c r="F92" s="68"/>
      <x:c r="G92" s="68"/>
      <x:c r="H92" s="68"/>
      <x:c r="I92" s="8"/>
      <x:c r="J92" s="8"/>
      <x:c r="K92" s="8"/>
      <x:c r="L92" s="8"/>
      <x:c r="M92" s="8"/>
      <x:c r="N92" s="8"/>
    </x:row>
    <x:row r="93">
      <x:c r="A93" s="8"/>
      <x:c r="B93" s="8"/>
      <x:c r="C93" s="8"/>
      <x:c r="D93" s="8"/>
      <x:c r="E93" s="8"/>
      <x:c r="F93" s="68"/>
      <x:c r="G93" s="68"/>
      <x:c r="H93" s="68"/>
      <x:c r="I93" s="8"/>
      <x:c r="J93" s="8"/>
      <x:c r="K93" s="8"/>
      <x:c r="L93" s="8"/>
      <x:c r="M93" s="8"/>
      <x:c r="N93" s="8"/>
    </x:row>
    <x:row r="94">
      <x:c r="A94" s="8"/>
      <x:c r="B94" s="8"/>
      <x:c r="C94" s="8"/>
      <x:c r="D94" s="8"/>
      <x:c r="E94" s="8"/>
      <x:c r="F94" s="68"/>
      <x:c r="G94" s="68"/>
      <x:c r="H94" s="68"/>
      <x:c r="I94" s="8"/>
      <x:c r="J94" s="8"/>
      <x:c r="K94" s="8"/>
      <x:c r="L94" s="8"/>
      <x:c r="M94" s="8"/>
      <x:c r="N94" s="8"/>
    </x:row>
    <x:row r="95">
      <x:c r="A95" s="8"/>
      <x:c r="B95" s="8"/>
      <x:c r="C95" s="8"/>
      <x:c r="D95" s="8"/>
      <x:c r="E95" s="8"/>
      <x:c r="F95" s="68"/>
      <x:c r="G95" s="68"/>
      <x:c r="H95" s="68"/>
      <x:c r="I95" s="8"/>
      <x:c r="J95" s="8"/>
      <x:c r="K95" s="8"/>
      <x:c r="L95" s="8"/>
      <x:c r="M95" s="8"/>
      <x:c r="N95" s="8"/>
    </x:row>
    <x:row r="96">
      <x:c r="A96" s="8"/>
      <x:c r="B96" s="8"/>
      <x:c r="C96" s="8"/>
      <x:c r="D96" s="8"/>
      <x:c r="E96" s="8"/>
      <x:c r="F96" s="68"/>
      <x:c r="G96" s="68"/>
      <x:c r="H96" s="68"/>
      <x:c r="I96" s="8"/>
      <x:c r="J96" s="8"/>
      <x:c r="K96" s="8"/>
      <x:c r="L96" s="8"/>
      <x:c r="M96" s="8"/>
      <x:c r="N96" s="8"/>
    </x:row>
    <x:row r="97">
      <x:c r="A97" s="8"/>
      <x:c r="B97" s="8"/>
      <x:c r="C97" s="8"/>
      <x:c r="D97" s="8"/>
      <x:c r="E97" s="8"/>
      <x:c r="F97" s="68"/>
      <x:c r="G97" s="68"/>
      <x:c r="H97" s="68"/>
      <x:c r="I97" s="8"/>
      <x:c r="J97" s="8"/>
      <x:c r="K97" s="8"/>
      <x:c r="L97" s="8"/>
      <x:c r="M97" s="8"/>
      <x:c r="N97" s="8"/>
    </x:row>
    <x:row r="98">
      <x:c r="A98" s="8"/>
      <x:c r="B98" s="8"/>
      <x:c r="C98" s="8"/>
      <x:c r="D98" s="8"/>
      <x:c r="E98" s="8"/>
      <x:c r="F98" s="68"/>
      <x:c r="G98" s="68"/>
      <x:c r="H98" s="68"/>
      <x:c r="I98" s="8"/>
      <x:c r="J98" s="8"/>
      <x:c r="K98" s="8"/>
      <x:c r="L98" s="8"/>
      <x:c r="M98" s="8"/>
      <x:c r="N98" s="8"/>
    </x:row>
    <x:row r="99">
      <x:c r="A99" s="8"/>
      <x:c r="B99" s="8"/>
      <x:c r="C99" s="8"/>
      <x:c r="D99" s="8"/>
      <x:c r="E99" s="8"/>
      <x:c r="F99" s="68"/>
      <x:c r="G99" s="68"/>
      <x:c r="H99" s="68"/>
      <x:c r="I99" s="8"/>
      <x:c r="J99" s="8"/>
      <x:c r="K99" s="8"/>
      <x:c r="L99" s="8"/>
      <x:c r="M99" s="8"/>
      <x:c r="N99" s="8"/>
    </x:row>
    <x:row r="100">
      <x:c r="A100" s="8"/>
      <x:c r="B100" s="8"/>
      <x:c r="C100" s="8"/>
      <x:c r="D100" s="8"/>
      <x:c r="E100" s="8"/>
      <x:c r="F100" s="68"/>
      <x:c r="G100" s="68"/>
      <x:c r="H100" s="68"/>
      <x:c r="I100" s="8"/>
      <x:c r="J100" s="8"/>
      <x:c r="K100" s="8"/>
      <x:c r="L100" s="8"/>
      <x:c r="M100" s="8"/>
      <x:c r="N100" s="8"/>
    </x:row>
    <x:row r="101">
      <x:c r="A101" s="8"/>
      <x:c r="B101" s="8"/>
      <x:c r="C101" s="8"/>
      <x:c r="D101" s="8"/>
      <x:c r="E101" s="8"/>
      <x:c r="F101" s="68"/>
      <x:c r="G101" s="68"/>
      <x:c r="H101" s="68"/>
      <x:c r="I101" s="8"/>
      <x:c r="J101" s="8"/>
      <x:c r="K101" s="8"/>
      <x:c r="L101" s="8"/>
      <x:c r="M101" s="8"/>
      <x:c r="N101" s="8"/>
    </x:row>
    <x:row r="102">
      <x:c r="A102" s="8"/>
      <x:c r="B102" s="8"/>
      <x:c r="C102" s="8"/>
      <x:c r="D102" s="8"/>
      <x:c r="E102" s="8"/>
      <x:c r="F102" s="68"/>
      <x:c r="G102" s="68"/>
      <x:c r="H102" s="68"/>
      <x:c r="I102" s="8"/>
      <x:c r="J102" s="8"/>
      <x:c r="K102" s="8"/>
      <x:c r="L102" s="8"/>
      <x:c r="M102" s="8"/>
      <x:c r="N102" s="8"/>
    </x:row>
    <x:row r="103">
      <x:c r="A103" s="8"/>
      <x:c r="B103" s="8"/>
      <x:c r="C103" s="8"/>
      <x:c r="D103" s="8"/>
      <x:c r="E103" s="8"/>
      <x:c r="F103" s="68"/>
      <x:c r="G103" s="68"/>
      <x:c r="H103" s="68"/>
      <x:c r="I103" s="8"/>
      <x:c r="J103" s="8"/>
      <x:c r="K103" s="8"/>
      <x:c r="L103" s="8"/>
      <x:c r="M103" s="8"/>
      <x:c r="N103" s="8"/>
    </x:row>
    <x:row r="104">
      <x:c r="A104" s="8"/>
      <x:c r="B104" s="8"/>
      <x:c r="C104" s="8"/>
      <x:c r="D104" s="8"/>
      <x:c r="E104" s="8"/>
      <x:c r="F104" s="68"/>
      <x:c r="G104" s="68"/>
      <x:c r="H104" s="68"/>
      <x:c r="I104" s="8"/>
      <x:c r="J104" s="8"/>
      <x:c r="K104" s="8"/>
      <x:c r="L104" s="8"/>
      <x:c r="M104" s="8"/>
      <x:c r="N104" s="8"/>
    </x:row>
    <x:row r="105">
      <x:c r="A105" s="8"/>
      <x:c r="B105" s="8"/>
      <x:c r="C105" s="8"/>
      <x:c r="D105" s="8"/>
      <x:c r="E105" s="8"/>
      <x:c r="F105" s="68"/>
      <x:c r="G105" s="68"/>
      <x:c r="H105" s="68"/>
      <x:c r="I105" s="8"/>
      <x:c r="J105" s="8"/>
      <x:c r="K105" s="8"/>
      <x:c r="L105" s="8"/>
      <x:c r="M105" s="8"/>
      <x:c r="N105" s="8"/>
    </x:row>
    <x:row r="106">
      <x:c r="A106" s="8"/>
      <x:c r="B106" s="8"/>
      <x:c r="C106" s="8"/>
      <x:c r="D106" s="8"/>
      <x:c r="E106" s="8"/>
      <x:c r="F106" s="68"/>
      <x:c r="G106" s="68"/>
      <x:c r="H106" s="68"/>
      <x:c r="I106" s="8"/>
      <x:c r="J106" s="8"/>
      <x:c r="K106" s="8"/>
      <x:c r="L106" s="8"/>
      <x:c r="M106" s="8"/>
      <x:c r="N106" s="8"/>
    </x:row>
    <x:row r="107">
      <x:c r="A107" s="8"/>
      <x:c r="B107" s="8"/>
      <x:c r="C107" s="8"/>
      <x:c r="D107" s="8"/>
      <x:c r="E107" s="8"/>
      <x:c r="F107" s="68"/>
      <x:c r="G107" s="68"/>
      <x:c r="H107" s="68"/>
      <x:c r="I107" s="8"/>
      <x:c r="J107" s="8"/>
      <x:c r="K107" s="8"/>
      <x:c r="L107" s="8"/>
      <x:c r="M107" s="8"/>
      <x:c r="N107" s="8"/>
    </x:row>
    <x:row r="108">
      <x:c r="A108" s="8"/>
      <x:c r="B108" s="8"/>
      <x:c r="C108" s="8"/>
      <x:c r="D108" s="8"/>
      <x:c r="E108" s="8"/>
      <x:c r="F108" s="68"/>
      <x:c r="G108" s="68"/>
      <x:c r="H108" s="68"/>
      <x:c r="I108" s="8"/>
      <x:c r="J108" s="8"/>
      <x:c r="K108" s="8"/>
      <x:c r="L108" s="8"/>
      <x:c r="M108" s="8"/>
      <x:c r="N108" s="8"/>
    </x:row>
    <x:row r="109">
      <x:c r="A109" s="8"/>
      <x:c r="B109" s="8"/>
      <x:c r="C109" s="8"/>
      <x:c r="D109" s="8"/>
      <x:c r="E109" s="8"/>
      <x:c r="F109" s="68"/>
      <x:c r="G109" s="68"/>
      <x:c r="H109" s="68"/>
      <x:c r="I109" s="8"/>
      <x:c r="J109" s="8"/>
      <x:c r="K109" s="8"/>
      <x:c r="L109" s="8"/>
      <x:c r="M109" s="8"/>
      <x:c r="N109" s="8"/>
    </x:row>
    <x:row r="110">
      <x:c r="A110" s="8"/>
      <x:c r="B110" s="8"/>
      <x:c r="C110" s="8"/>
      <x:c r="D110" s="8"/>
      <x:c r="E110" s="8"/>
      <x:c r="F110" s="68"/>
      <x:c r="G110" s="68"/>
      <x:c r="H110" s="68"/>
      <x:c r="I110" s="8"/>
      <x:c r="J110" s="8"/>
      <x:c r="K110" s="8"/>
      <x:c r="L110" s="8"/>
      <x:c r="M110" s="8"/>
      <x:c r="N110" s="8"/>
    </x:row>
    <x:row r="111">
      <x:c r="A111" s="8"/>
      <x:c r="B111" s="8"/>
      <x:c r="C111" s="8"/>
      <x:c r="D111" s="8"/>
      <x:c r="E111" s="8"/>
      <x:c r="F111" s="68"/>
      <x:c r="G111" s="68"/>
      <x:c r="H111" s="68"/>
      <x:c r="I111" s="8"/>
      <x:c r="J111" s="8"/>
      <x:c r="K111" s="8"/>
      <x:c r="L111" s="8"/>
      <x:c r="M111" s="8"/>
      <x:c r="N111" s="8"/>
    </x:row>
    <x:row r="112">
      <x:c r="A112" s="8"/>
      <x:c r="B112" s="8"/>
      <x:c r="C112" s="8"/>
      <x:c r="D112" s="8"/>
      <x:c r="E112" s="8"/>
      <x:c r="F112" s="68"/>
      <x:c r="G112" s="68"/>
      <x:c r="H112" s="68"/>
      <x:c r="I112" s="8"/>
      <x:c r="J112" s="8"/>
      <x:c r="K112" s="8"/>
      <x:c r="L112" s="8"/>
      <x:c r="M112" s="8"/>
      <x:c r="N112" s="8"/>
    </x:row>
    <x:row r="113">
      <x:c r="A113" s="8"/>
      <x:c r="B113" s="8"/>
      <x:c r="C113" s="8"/>
      <x:c r="D113" s="8"/>
      <x:c r="E113" s="8"/>
      <x:c r="F113" s="68"/>
      <x:c r="G113" s="68"/>
      <x:c r="H113" s="68"/>
      <x:c r="I113" s="8"/>
      <x:c r="J113" s="8"/>
      <x:c r="K113" s="8"/>
      <x:c r="L113" s="8"/>
      <x:c r="M113" s="8"/>
      <x:c r="N113" s="8"/>
    </x:row>
    <x:row r="114">
      <x:c r="A114" s="8"/>
      <x:c r="B114" s="8"/>
      <x:c r="C114" s="8"/>
      <x:c r="D114" s="8"/>
      <x:c r="E114" s="8"/>
      <x:c r="F114" s="68"/>
      <x:c r="G114" s="68"/>
      <x:c r="H114" s="68"/>
      <x:c r="I114" s="8"/>
      <x:c r="J114" s="8"/>
      <x:c r="K114" s="8"/>
      <x:c r="L114" s="8"/>
      <x:c r="M114" s="8"/>
      <x:c r="N114" s="8"/>
    </x:row>
    <x:row r="115">
      <x:c r="A115" s="8"/>
      <x:c r="B115" s="8"/>
      <x:c r="C115" s="8"/>
      <x:c r="D115" s="8"/>
      <x:c r="E115" s="8"/>
      <x:c r="F115" s="68"/>
      <x:c r="G115" s="68"/>
      <x:c r="H115" s="68"/>
      <x:c r="I115" s="8"/>
      <x:c r="J115" s="8"/>
      <x:c r="K115" s="8"/>
      <x:c r="L115" s="8"/>
      <x:c r="M115" s="8"/>
      <x:c r="N115" s="8"/>
    </x:row>
    <x:row r="116">
      <x:c r="A116" s="8"/>
      <x:c r="B116" s="8"/>
      <x:c r="C116" s="8"/>
      <x:c r="D116" s="8"/>
      <x:c r="E116" s="8"/>
      <x:c r="F116" s="68"/>
      <x:c r="G116" s="68"/>
      <x:c r="H116" s="68"/>
      <x:c r="I116" s="8"/>
      <x:c r="J116" s="8"/>
      <x:c r="K116" s="8"/>
      <x:c r="L116" s="8"/>
      <x:c r="M116" s="8"/>
      <x:c r="N116" s="8"/>
    </x:row>
    <x:row r="117">
      <x:c r="A117" s="8"/>
      <x:c r="B117" s="8"/>
      <x:c r="C117" s="8"/>
      <x:c r="D117" s="8"/>
      <x:c r="E117" s="8"/>
      <x:c r="F117" s="68"/>
      <x:c r="G117" s="68"/>
      <x:c r="H117" s="68"/>
      <x:c r="I117" s="8"/>
      <x:c r="J117" s="8"/>
      <x:c r="K117" s="8"/>
      <x:c r="L117" s="8"/>
      <x:c r="M117" s="8"/>
      <x:c r="N117" s="8"/>
    </x:row>
    <x:row r="118">
      <x:c r="A118" s="8"/>
      <x:c r="B118" s="8"/>
      <x:c r="C118" s="8"/>
      <x:c r="D118" s="8"/>
      <x:c r="E118" s="8"/>
      <x:c r="F118" s="68"/>
      <x:c r="G118" s="68"/>
      <x:c r="H118" s="68"/>
      <x:c r="I118" s="8"/>
      <x:c r="J118" s="8"/>
      <x:c r="K118" s="8"/>
      <x:c r="L118" s="8"/>
      <x:c r="M118" s="8"/>
      <x:c r="N118" s="8"/>
    </x:row>
    <x:row r="119">
      <x:c r="A119" s="8"/>
      <x:c r="B119" s="8"/>
      <x:c r="C119" s="8"/>
      <x:c r="D119" s="8"/>
      <x:c r="E119" s="8"/>
      <x:c r="F119" s="68"/>
      <x:c r="G119" s="68"/>
      <x:c r="H119" s="68"/>
      <x:c r="I119" s="8"/>
      <x:c r="J119" s="8"/>
      <x:c r="K119" s="8"/>
      <x:c r="L119" s="8"/>
      <x:c r="M119" s="8"/>
      <x:c r="N119" s="8"/>
    </x:row>
    <x:row r="120">
      <x:c r="A120" s="8"/>
      <x:c r="B120" s="8"/>
      <x:c r="C120" s="8"/>
      <x:c r="D120" s="8"/>
      <x:c r="E120" s="8"/>
      <x:c r="F120" s="68"/>
      <x:c r="G120" s="68"/>
      <x:c r="H120" s="68"/>
      <x:c r="I120" s="8"/>
      <x:c r="J120" s="8"/>
      <x:c r="K120" s="8"/>
      <x:c r="L120" s="8"/>
      <x:c r="M120" s="8"/>
      <x:c r="N120" s="8"/>
    </x:row>
    <x:row r="121">
      <x:c r="A121" s="8"/>
      <x:c r="B121" s="8"/>
      <x:c r="C121" s="8"/>
      <x:c r="D121" s="8"/>
      <x:c r="E121" s="8"/>
      <x:c r="F121" s="68"/>
      <x:c r="G121" s="68"/>
      <x:c r="H121" s="68"/>
      <x:c r="I121" s="8"/>
      <x:c r="J121" s="8"/>
      <x:c r="K121" s="8"/>
      <x:c r="L121" s="8"/>
      <x:c r="M121" s="8"/>
      <x:c r="N121" s="8"/>
    </x:row>
    <x:row r="122">
      <x:c r="A122" s="8"/>
      <x:c r="B122" s="8"/>
      <x:c r="C122" s="8"/>
      <x:c r="D122" s="8"/>
      <x:c r="E122" s="8"/>
      <x:c r="F122" s="68"/>
      <x:c r="G122" s="68"/>
      <x:c r="H122" s="68"/>
      <x:c r="I122" s="8"/>
      <x:c r="J122" s="8"/>
      <x:c r="K122" s="8"/>
      <x:c r="L122" s="8"/>
      <x:c r="M122" s="8"/>
      <x:c r="N122" s="8"/>
    </x:row>
    <x:row r="123">
      <x:c r="A123" s="8"/>
      <x:c r="B123" s="8"/>
      <x:c r="C123" s="8"/>
      <x:c r="D123" s="8"/>
      <x:c r="E123" s="8"/>
      <x:c r="F123" s="68"/>
      <x:c r="G123" s="68"/>
      <x:c r="H123" s="68"/>
      <x:c r="I123" s="8"/>
      <x:c r="J123" s="8"/>
      <x:c r="K123" s="8"/>
      <x:c r="L123" s="8"/>
      <x:c r="M123" s="8"/>
      <x:c r="N123" s="8"/>
    </x:row>
    <x:row r="124">
      <x:c r="A124" s="8"/>
      <x:c r="B124" s="8"/>
      <x:c r="C124" s="8"/>
      <x:c r="D124" s="8"/>
      <x:c r="E124" s="8"/>
      <x:c r="F124" s="68"/>
      <x:c r="G124" s="68"/>
      <x:c r="H124" s="68"/>
      <x:c r="I124" s="8"/>
      <x:c r="J124" s="8"/>
      <x:c r="K124" s="8"/>
      <x:c r="L124" s="8"/>
      <x:c r="M124" s="8"/>
      <x:c r="N124" s="8"/>
    </x:row>
    <x:row r="125">
      <x:c r="A125" s="8"/>
      <x:c r="B125" s="8"/>
      <x:c r="C125" s="8"/>
      <x:c r="D125" s="8"/>
      <x:c r="E125" s="8"/>
      <x:c r="F125" s="68"/>
      <x:c r="G125" s="68"/>
      <x:c r="H125" s="68"/>
      <x:c r="I125" s="8"/>
      <x:c r="J125" s="8"/>
      <x:c r="K125" s="8"/>
      <x:c r="L125" s="8"/>
      <x:c r="M125" s="8"/>
      <x:c r="N125" s="8"/>
    </x:row>
    <x:row r="126">
      <x:c r="A126" s="8"/>
      <x:c r="B126" s="8"/>
      <x:c r="C126" s="8"/>
      <x:c r="D126" s="8"/>
      <x:c r="E126" s="8"/>
      <x:c r="F126" s="68"/>
      <x:c r="G126" s="68"/>
      <x:c r="H126" s="68"/>
      <x:c r="I126" s="8"/>
      <x:c r="J126" s="8"/>
      <x:c r="K126" s="8"/>
      <x:c r="L126" s="8"/>
      <x:c r="M126" s="8"/>
      <x:c r="N126" s="8"/>
    </x:row>
    <x:row r="127">
      <x:c r="A127" s="8"/>
      <x:c r="B127" s="8"/>
      <x:c r="C127" s="8"/>
      <x:c r="D127" s="8"/>
      <x:c r="E127" s="8"/>
      <x:c r="F127" s="68"/>
      <x:c r="G127" s="68"/>
      <x:c r="H127" s="68"/>
      <x:c r="I127" s="8"/>
      <x:c r="J127" s="8"/>
      <x:c r="K127" s="8"/>
      <x:c r="L127" s="8"/>
      <x:c r="M127" s="8"/>
      <x:c r="N127" s="8"/>
    </x:row>
    <x:row r="128">
      <x:c r="A128" s="8"/>
      <x:c r="B128" s="8"/>
      <x:c r="C128" s="8"/>
      <x:c r="D128" s="8"/>
      <x:c r="E128" s="8"/>
      <x:c r="F128" s="68"/>
      <x:c r="G128" s="68"/>
      <x:c r="H128" s="68"/>
      <x:c r="I128" s="8"/>
      <x:c r="J128" s="8"/>
      <x:c r="K128" s="8"/>
      <x:c r="L128" s="8"/>
      <x:c r="M128" s="8"/>
      <x:c r="N128" s="8"/>
    </x:row>
    <x:row r="129">
      <x:c r="A129" s="8"/>
      <x:c r="B129" s="8"/>
      <x:c r="C129" s="8"/>
      <x:c r="D129" s="8"/>
      <x:c r="E129" s="8"/>
      <x:c r="F129" s="68"/>
      <x:c r="G129" s="68"/>
      <x:c r="H129" s="68"/>
      <x:c r="I129" s="8"/>
      <x:c r="J129" s="8"/>
      <x:c r="K129" s="8"/>
      <x:c r="L129" s="8"/>
      <x:c r="M129" s="8"/>
      <x:c r="N129" s="8"/>
    </x:row>
    <x:row r="130">
      <x:c r="A130" s="8"/>
      <x:c r="B130" s="8"/>
      <x:c r="C130" s="8"/>
      <x:c r="D130" s="8"/>
      <x:c r="E130" s="8"/>
      <x:c r="F130" s="68"/>
      <x:c r="G130" s="68"/>
      <x:c r="H130" s="68"/>
      <x:c r="I130" s="8"/>
      <x:c r="J130" s="8"/>
      <x:c r="K130" s="8"/>
      <x:c r="L130" s="8"/>
      <x:c r="M130" s="8"/>
      <x:c r="N130" s="8"/>
    </x:row>
    <x:row r="131">
      <x:c r="A131" s="8"/>
      <x:c r="B131" s="8"/>
      <x:c r="C131" s="8"/>
      <x:c r="D131" s="8"/>
      <x:c r="E131" s="8"/>
      <x:c r="F131" s="68"/>
      <x:c r="G131" s="68"/>
      <x:c r="H131" s="68"/>
      <x:c r="I131" s="8"/>
      <x:c r="J131" s="8"/>
      <x:c r="K131" s="8"/>
      <x:c r="L131" s="8"/>
      <x:c r="M131" s="8"/>
      <x:c r="N131" s="8"/>
    </x:row>
    <x:row r="132">
      <x:c r="A132" s="8"/>
      <x:c r="B132" s="8"/>
      <x:c r="C132" s="8"/>
      <x:c r="D132" s="8"/>
      <x:c r="E132" s="8"/>
      <x:c r="F132" s="68"/>
      <x:c r="G132" s="68"/>
      <x:c r="H132" s="68"/>
      <x:c r="I132" s="8"/>
      <x:c r="J132" s="8"/>
      <x:c r="K132" s="8"/>
      <x:c r="L132" s="8"/>
      <x:c r="M132" s="8"/>
      <x:c r="N132" s="8"/>
    </x:row>
    <x:row r="133">
      <x:c r="A133" s="8"/>
      <x:c r="B133" s="8"/>
      <x:c r="C133" s="8"/>
      <x:c r="D133" s="8"/>
      <x:c r="E133" s="8"/>
      <x:c r="F133" s="68"/>
      <x:c r="G133" s="68"/>
      <x:c r="H133" s="68"/>
      <x:c r="I133" s="8"/>
      <x:c r="J133" s="8"/>
      <x:c r="K133" s="8"/>
      <x:c r="L133" s="8"/>
      <x:c r="M133" s="8"/>
      <x:c r="N133" s="8"/>
    </x:row>
    <x:row r="134">
      <x:c r="A134" s="8"/>
      <x:c r="B134" s="8"/>
      <x:c r="C134" s="8"/>
      <x:c r="D134" s="8"/>
      <x:c r="E134" s="8"/>
      <x:c r="F134" s="68"/>
      <x:c r="G134" s="68"/>
      <x:c r="H134" s="68"/>
      <x:c r="I134" s="8"/>
      <x:c r="J134" s="8"/>
      <x:c r="K134" s="8"/>
      <x:c r="L134" s="8"/>
      <x:c r="M134" s="8"/>
      <x:c r="N134" s="8"/>
    </x:row>
    <x:row r="135">
      <x:c r="A135" s="8"/>
      <x:c r="B135" s="8"/>
      <x:c r="C135" s="8"/>
      <x:c r="D135" s="8"/>
      <x:c r="E135" s="8"/>
      <x:c r="F135" s="68"/>
      <x:c r="G135" s="68"/>
      <x:c r="H135" s="68"/>
      <x:c r="I135" s="8"/>
      <x:c r="J135" s="8"/>
      <x:c r="K135" s="8"/>
      <x:c r="L135" s="8"/>
      <x:c r="M135" s="8"/>
      <x:c r="N135" s="8"/>
    </x:row>
    <x:row r="136">
      <x:c r="A136" s="8"/>
      <x:c r="B136" s="8"/>
      <x:c r="C136" s="8"/>
      <x:c r="D136" s="8"/>
      <x:c r="E136" s="8"/>
      <x:c r="F136" s="68"/>
      <x:c r="G136" s="68"/>
      <x:c r="H136" s="68"/>
      <x:c r="I136" s="8"/>
      <x:c r="J136" s="8"/>
      <x:c r="K136" s="8"/>
      <x:c r="L136" s="8"/>
      <x:c r="M136" s="8"/>
      <x:c r="N136" s="8"/>
    </x:row>
    <x:row r="137">
      <x:c r="A137" s="8"/>
      <x:c r="B137" s="8"/>
      <x:c r="C137" s="8"/>
      <x:c r="D137" s="8"/>
      <x:c r="E137" s="8"/>
      <x:c r="F137" s="68"/>
      <x:c r="G137" s="68"/>
      <x:c r="H137" s="68"/>
      <x:c r="I137" s="8"/>
      <x:c r="J137" s="8"/>
      <x:c r="K137" s="8"/>
      <x:c r="L137" s="8"/>
      <x:c r="M137" s="8"/>
      <x:c r="N137" s="8"/>
    </x:row>
    <x:row r="138">
      <x:c r="A138" s="8"/>
      <x:c r="B138" s="8"/>
      <x:c r="C138" s="8"/>
      <x:c r="D138" s="8"/>
      <x:c r="E138" s="8"/>
      <x:c r="F138" s="68"/>
      <x:c r="G138" s="68"/>
      <x:c r="H138" s="68"/>
      <x:c r="I138" s="8"/>
      <x:c r="J138" s="8"/>
      <x:c r="K138" s="8"/>
      <x:c r="L138" s="8"/>
      <x:c r="M138" s="8"/>
      <x:c r="N138" s="8"/>
    </x:row>
    <x:row r="139">
      <x:c r="A139" s="8"/>
      <x:c r="B139" s="8"/>
      <x:c r="C139" s="8"/>
      <x:c r="D139" s="8"/>
      <x:c r="E139" s="8"/>
      <x:c r="F139" s="68"/>
      <x:c r="G139" s="68"/>
      <x:c r="H139" s="68"/>
      <x:c r="I139" s="8"/>
      <x:c r="J139" s="8"/>
      <x:c r="K139" s="8"/>
      <x:c r="L139" s="8"/>
      <x:c r="M139" s="8"/>
      <x:c r="N139" s="8"/>
    </x:row>
    <x:row r="140">
      <x:c r="A140" s="8"/>
      <x:c r="B140" s="8"/>
      <x:c r="C140" s="8"/>
      <x:c r="D140" s="8"/>
      <x:c r="E140" s="8"/>
      <x:c r="F140" s="68"/>
      <x:c r="G140" s="68"/>
      <x:c r="H140" s="68"/>
      <x:c r="I140" s="8"/>
      <x:c r="J140" s="8"/>
      <x:c r="K140" s="8"/>
      <x:c r="L140" s="8"/>
      <x:c r="M140" s="8"/>
      <x:c r="N140" s="8"/>
    </x:row>
    <x:row r="141">
      <x:c r="A141" s="8"/>
      <x:c r="B141" s="8"/>
      <x:c r="C141" s="8"/>
      <x:c r="D141" s="8"/>
      <x:c r="E141" s="8"/>
      <x:c r="F141" s="68"/>
      <x:c r="G141" s="68"/>
      <x:c r="H141" s="68"/>
      <x:c r="I141" s="8"/>
      <x:c r="J141" s="8"/>
      <x:c r="K141" s="8"/>
      <x:c r="L141" s="8"/>
      <x:c r="M141" s="8"/>
      <x:c r="N141" s="8"/>
    </x:row>
    <x:row r="142">
      <x:c r="A142" s="8"/>
      <x:c r="B142" s="8"/>
      <x:c r="C142" s="8"/>
      <x:c r="D142" s="8"/>
      <x:c r="E142" s="8"/>
      <x:c r="F142" s="68"/>
      <x:c r="G142" s="68"/>
      <x:c r="H142" s="68"/>
      <x:c r="I142" s="8"/>
      <x:c r="J142" s="8"/>
      <x:c r="K142" s="8"/>
      <x:c r="L142" s="8"/>
      <x:c r="M142" s="8"/>
      <x:c r="N142" s="8"/>
    </x:row>
    <x:row r="143">
      <x:c r="A143" s="8"/>
      <x:c r="B143" s="8"/>
      <x:c r="C143" s="8"/>
      <x:c r="D143" s="8"/>
      <x:c r="E143" s="8"/>
      <x:c r="F143" s="68"/>
      <x:c r="G143" s="68"/>
      <x:c r="H143" s="68"/>
      <x:c r="I143" s="8"/>
      <x:c r="J143" s="8"/>
      <x:c r="K143" s="8"/>
      <x:c r="L143" s="8"/>
      <x:c r="M143" s="8"/>
      <x:c r="N143" s="8"/>
    </x:row>
    <x:row r="144">
      <x:c r="A144" s="8"/>
      <x:c r="B144" s="8"/>
      <x:c r="C144" s="8"/>
      <x:c r="D144" s="8"/>
      <x:c r="E144" s="8"/>
      <x:c r="F144" s="68"/>
      <x:c r="G144" s="68"/>
      <x:c r="H144" s="68"/>
      <x:c r="I144" s="8"/>
      <x:c r="J144" s="8"/>
      <x:c r="K144" s="8"/>
      <x:c r="L144" s="8"/>
      <x:c r="M144" s="8"/>
      <x:c r="N144" s="8"/>
    </x:row>
    <x:row r="145">
      <x:c r="A145" s="8"/>
      <x:c r="B145" s="8"/>
      <x:c r="C145" s="8"/>
      <x:c r="D145" s="8"/>
      <x:c r="E145" s="8"/>
      <x:c r="F145" s="68"/>
      <x:c r="G145" s="68"/>
      <x:c r="H145" s="68"/>
      <x:c r="I145" s="8"/>
      <x:c r="J145" s="8"/>
      <x:c r="K145" s="8"/>
      <x:c r="L145" s="8"/>
      <x:c r="M145" s="8"/>
      <x:c r="N145" s="8"/>
    </x:row>
    <x:row r="146">
      <x:c r="A146" s="8"/>
      <x:c r="B146" s="8"/>
      <x:c r="C146" s="8"/>
      <x:c r="D146" s="8"/>
      <x:c r="E146" s="8"/>
      <x:c r="F146" s="68"/>
      <x:c r="G146" s="68"/>
      <x:c r="H146" s="68"/>
      <x:c r="I146" s="8"/>
      <x:c r="J146" s="8"/>
      <x:c r="K146" s="8"/>
      <x:c r="L146" s="8"/>
      <x:c r="M146" s="8"/>
      <x:c r="N146" s="8"/>
    </x:row>
    <x:row r="147">
      <x:c r="A147" s="8"/>
      <x:c r="B147" s="8"/>
      <x:c r="C147" s="8"/>
      <x:c r="D147" s="8"/>
      <x:c r="E147" s="8"/>
      <x:c r="F147" s="68"/>
      <x:c r="G147" s="68"/>
      <x:c r="H147" s="68"/>
      <x:c r="I147" s="8"/>
      <x:c r="J147" s="8"/>
      <x:c r="K147" s="8"/>
      <x:c r="L147" s="8"/>
      <x:c r="M147" s="8"/>
      <x:c r="N147" s="8"/>
    </x:row>
    <x:row r="148">
      <x:c r="A148" s="8"/>
      <x:c r="B148" s="8"/>
      <x:c r="C148" s="8"/>
      <x:c r="D148" s="8"/>
      <x:c r="E148" s="8"/>
      <x:c r="F148" s="68"/>
      <x:c r="G148" s="68"/>
      <x:c r="H148" s="68"/>
      <x:c r="I148" s="8"/>
      <x:c r="J148" s="8"/>
      <x:c r="K148" s="8"/>
      <x:c r="L148" s="8"/>
      <x:c r="M148" s="8"/>
      <x:c r="N148" s="8"/>
    </x:row>
    <x:row r="149">
      <x:c r="A149" s="8"/>
      <x:c r="B149" s="8"/>
      <x:c r="C149" s="8"/>
      <x:c r="D149" s="8"/>
      <x:c r="E149" s="8"/>
      <x:c r="F149" s="68"/>
      <x:c r="G149" s="68"/>
      <x:c r="H149" s="68"/>
      <x:c r="I149" s="8"/>
      <x:c r="J149" s="8"/>
      <x:c r="K149" s="8"/>
      <x:c r="L149" s="8"/>
      <x:c r="M149" s="8"/>
      <x:c r="N149" s="8"/>
    </x:row>
    <x:row r="150">
      <x:c r="A150" s="8"/>
      <x:c r="B150" s="8"/>
      <x:c r="C150" s="8"/>
      <x:c r="D150" s="8"/>
      <x:c r="E150" s="8"/>
      <x:c r="F150" s="68"/>
      <x:c r="G150" s="68"/>
      <x:c r="H150" s="68"/>
      <x:c r="I150" s="8"/>
      <x:c r="J150" s="8"/>
      <x:c r="K150" s="8"/>
      <x:c r="L150" s="8"/>
      <x:c r="M150" s="8"/>
      <x:c r="N150" s="8"/>
    </x:row>
    <x:row r="151">
      <x:c r="A151" s="8"/>
      <x:c r="B151" s="8"/>
      <x:c r="C151" s="8"/>
      <x:c r="D151" s="8"/>
      <x:c r="E151" s="8"/>
      <x:c r="F151" s="68"/>
      <x:c r="G151" s="68"/>
      <x:c r="H151" s="68"/>
      <x:c r="I151" s="8"/>
      <x:c r="J151" s="8"/>
      <x:c r="K151" s="8"/>
      <x:c r="L151" s="8"/>
      <x:c r="M151" s="8"/>
      <x:c r="N151" s="8"/>
    </x:row>
    <x:row r="152">
      <x:c r="A152" s="8"/>
      <x:c r="B152" s="8"/>
      <x:c r="C152" s="8"/>
      <x:c r="D152" s="8"/>
      <x:c r="E152" s="8"/>
      <x:c r="F152" s="68"/>
      <x:c r="G152" s="68"/>
      <x:c r="H152" s="68"/>
      <x:c r="I152" s="8"/>
      <x:c r="J152" s="8"/>
      <x:c r="K152" s="8"/>
      <x:c r="L152" s="8"/>
      <x:c r="M152" s="8"/>
      <x:c r="N152" s="8"/>
    </x:row>
    <x:row r="153">
      <x:c r="A153" s="8"/>
      <x:c r="B153" s="8"/>
      <x:c r="C153" s="8"/>
      <x:c r="D153" s="8"/>
      <x:c r="E153" s="8"/>
      <x:c r="F153" s="68"/>
      <x:c r="G153" s="68"/>
      <x:c r="H153" s="68"/>
      <x:c r="I153" s="8"/>
      <x:c r="J153" s="8"/>
      <x:c r="K153" s="8"/>
      <x:c r="L153" s="8"/>
      <x:c r="M153" s="8"/>
      <x:c r="N153" s="8"/>
    </x:row>
    <x:row r="154">
      <x:c r="A154" s="8"/>
      <x:c r="B154" s="8"/>
      <x:c r="C154" s="8"/>
      <x:c r="D154" s="8"/>
      <x:c r="E154" s="8"/>
      <x:c r="F154" s="68"/>
      <x:c r="G154" s="68"/>
      <x:c r="H154" s="68"/>
      <x:c r="I154" s="8"/>
      <x:c r="J154" s="8"/>
      <x:c r="K154" s="8"/>
      <x:c r="L154" s="8"/>
      <x:c r="M154" s="8"/>
      <x:c r="N154" s="8"/>
    </x:row>
    <x:row r="155">
      <x:c r="A155" s="8"/>
      <x:c r="B155" s="8"/>
      <x:c r="C155" s="8"/>
      <x:c r="D155" s="8"/>
      <x:c r="E155" s="8"/>
      <x:c r="F155" s="68"/>
      <x:c r="G155" s="68"/>
      <x:c r="H155" s="68"/>
      <x:c r="I155" s="8"/>
      <x:c r="J155" s="8"/>
      <x:c r="K155" s="8"/>
      <x:c r="L155" s="8"/>
      <x:c r="M155" s="8"/>
      <x:c r="N155" s="8"/>
    </x:row>
    <x:row r="156">
      <x:c r="A156" s="8"/>
      <x:c r="B156" s="8"/>
      <x:c r="C156" s="8"/>
      <x:c r="D156" s="8"/>
      <x:c r="E156" s="8"/>
      <x:c r="F156" s="68"/>
      <x:c r="G156" s="68"/>
      <x:c r="H156" s="68"/>
      <x:c r="I156" s="8"/>
      <x:c r="J156" s="8"/>
      <x:c r="K156" s="8"/>
      <x:c r="L156" s="8"/>
      <x:c r="M156" s="8"/>
      <x:c r="N156" s="8"/>
    </x:row>
    <x:row r="157">
      <x:c r="A157" s="8"/>
      <x:c r="B157" s="8"/>
      <x:c r="C157" s="8"/>
      <x:c r="D157" s="8"/>
      <x:c r="E157" s="8"/>
      <x:c r="F157" s="68"/>
      <x:c r="G157" s="68"/>
      <x:c r="H157" s="68"/>
      <x:c r="I157" s="8"/>
      <x:c r="J157" s="8"/>
      <x:c r="K157" s="8"/>
      <x:c r="L157" s="8"/>
      <x:c r="M157" s="8"/>
      <x:c r="N157" s="8"/>
    </x:row>
    <x:row r="158">
      <x:c r="A158" s="8"/>
      <x:c r="B158" s="8"/>
      <x:c r="C158" s="8"/>
      <x:c r="D158" s="8"/>
      <x:c r="E158" s="8"/>
      <x:c r="F158" s="68"/>
      <x:c r="G158" s="68"/>
      <x:c r="H158" s="68"/>
      <x:c r="I158" s="8"/>
      <x:c r="J158" s="8"/>
      <x:c r="K158" s="8"/>
      <x:c r="L158" s="8"/>
      <x:c r="M158" s="8"/>
      <x:c r="N158" s="8"/>
    </x:row>
    <x:row r="159">
      <x:c r="A159" s="8"/>
      <x:c r="B159" s="8"/>
      <x:c r="C159" s="8"/>
      <x:c r="D159" s="8"/>
      <x:c r="E159" s="8"/>
      <x:c r="F159" s="68"/>
      <x:c r="G159" s="68"/>
      <x:c r="H159" s="68"/>
      <x:c r="I159" s="8"/>
      <x:c r="J159" s="8"/>
      <x:c r="K159" s="8"/>
      <x:c r="L159" s="8"/>
      <x:c r="M159" s="8"/>
      <x:c r="N159" s="8"/>
    </x:row>
    <x:row r="160">
      <x:c r="A160" s="8"/>
      <x:c r="B160" s="8"/>
      <x:c r="C160" s="8"/>
      <x:c r="D160" s="8"/>
      <x:c r="E160" s="8"/>
      <x:c r="F160" s="68"/>
      <x:c r="G160" s="68"/>
      <x:c r="H160" s="68"/>
      <x:c r="I160" s="8"/>
      <x:c r="J160" s="8"/>
      <x:c r="K160" s="8"/>
      <x:c r="L160" s="8"/>
      <x:c r="M160" s="8"/>
      <x:c r="N160" s="8"/>
    </x:row>
    <x:row r="161">
      <x:c r="A161" s="8"/>
      <x:c r="B161" s="8"/>
      <x:c r="C161" s="8"/>
      <x:c r="D161" s="8"/>
      <x:c r="E161" s="8"/>
      <x:c r="F161" s="68"/>
      <x:c r="G161" s="68"/>
      <x:c r="H161" s="68"/>
      <x:c r="I161" s="8"/>
      <x:c r="J161" s="8"/>
      <x:c r="K161" s="8"/>
      <x:c r="L161" s="8"/>
      <x:c r="M161" s="8"/>
      <x:c r="N161" s="8"/>
    </x:row>
    <x:row r="162">
      <x:c r="A162" s="8"/>
      <x:c r="B162" s="8"/>
      <x:c r="C162" s="8"/>
      <x:c r="D162" s="8"/>
      <x:c r="E162" s="8"/>
      <x:c r="F162" s="68"/>
      <x:c r="G162" s="68"/>
      <x:c r="H162" s="68"/>
      <x:c r="I162" s="8"/>
      <x:c r="J162" s="8"/>
      <x:c r="K162" s="8"/>
      <x:c r="L162" s="8"/>
      <x:c r="M162" s="8"/>
      <x:c r="N162" s="8"/>
    </x:row>
    <x:row r="163">
      <x:c r="A163" s="8"/>
      <x:c r="B163" s="8"/>
      <x:c r="C163" s="8"/>
      <x:c r="D163" s="8"/>
      <x:c r="E163" s="8"/>
      <x:c r="F163" s="68"/>
      <x:c r="G163" s="68"/>
      <x:c r="H163" s="68"/>
      <x:c r="I163" s="8"/>
      <x:c r="J163" s="8"/>
      <x:c r="K163" s="8"/>
      <x:c r="L163" s="8"/>
      <x:c r="M163" s="8"/>
      <x:c r="N163" s="8"/>
    </x:row>
    <x:row r="164">
      <x:c r="A164" s="8"/>
      <x:c r="B164" s="8"/>
      <x:c r="C164" s="8"/>
      <x:c r="D164" s="8"/>
      <x:c r="E164" s="8"/>
      <x:c r="F164" s="68"/>
      <x:c r="G164" s="68"/>
      <x:c r="H164" s="68"/>
      <x:c r="I164" s="8"/>
      <x:c r="J164" s="8"/>
      <x:c r="K164" s="8"/>
      <x:c r="L164" s="8"/>
      <x:c r="M164" s="8"/>
      <x:c r="N164" s="8"/>
    </x:row>
    <x:row r="165">
      <x:c r="A165" s="8"/>
      <x:c r="B165" s="8"/>
      <x:c r="C165" s="8"/>
      <x:c r="D165" s="8"/>
      <x:c r="E165" s="8"/>
      <x:c r="F165" s="68"/>
      <x:c r="G165" s="68"/>
      <x:c r="H165" s="68"/>
      <x:c r="I165" s="8"/>
      <x:c r="J165" s="8"/>
      <x:c r="K165" s="8"/>
      <x:c r="L165" s="8"/>
      <x:c r="M165" s="8"/>
      <x:c r="N165" s="8"/>
    </x:row>
    <x:row r="166">
      <x:c r="A166" s="8"/>
      <x:c r="B166" s="8"/>
      <x:c r="C166" s="8"/>
      <x:c r="D166" s="8"/>
      <x:c r="E166" s="8"/>
      <x:c r="F166" s="68"/>
      <x:c r="G166" s="68"/>
      <x:c r="H166" s="68"/>
      <x:c r="I166" s="8"/>
      <x:c r="J166" s="8"/>
      <x:c r="K166" s="8"/>
      <x:c r="L166" s="8"/>
      <x:c r="M166" s="8"/>
      <x:c r="N166" s="8"/>
    </x:row>
    <x:row r="167">
      <x:c r="A167" s="8"/>
      <x:c r="B167" s="8"/>
      <x:c r="C167" s="8"/>
      <x:c r="D167" s="8"/>
      <x:c r="E167" s="8"/>
      <x:c r="F167" s="68"/>
      <x:c r="G167" s="68"/>
      <x:c r="H167" s="68"/>
      <x:c r="I167" s="8"/>
      <x:c r="J167" s="8"/>
      <x:c r="K167" s="8"/>
      <x:c r="L167" s="8"/>
      <x:c r="M167" s="8"/>
      <x:c r="N167" s="8"/>
    </x:row>
    <x:row r="168">
      <x:c r="A168" s="8"/>
      <x:c r="B168" s="8"/>
      <x:c r="C168" s="8"/>
      <x:c r="D168" s="8"/>
      <x:c r="E168" s="8"/>
      <x:c r="F168" s="68"/>
      <x:c r="G168" s="68"/>
      <x:c r="H168" s="68"/>
      <x:c r="I168" s="8"/>
      <x:c r="J168" s="8"/>
      <x:c r="K168" s="8"/>
      <x:c r="L168" s="8"/>
      <x:c r="M168" s="8"/>
      <x:c r="N168" s="8"/>
    </x:row>
    <x:row r="169">
      <x:c r="A169" s="8"/>
      <x:c r="B169" s="8"/>
      <x:c r="C169" s="8"/>
      <x:c r="D169" s="8"/>
      <x:c r="E169" s="8"/>
      <x:c r="F169" s="68"/>
      <x:c r="G169" s="68"/>
      <x:c r="H169" s="68"/>
      <x:c r="I169" s="8"/>
      <x:c r="J169" s="8"/>
      <x:c r="K169" s="8"/>
      <x:c r="L169" s="8"/>
      <x:c r="M169" s="8"/>
      <x:c r="N169" s="8"/>
    </x:row>
    <x:row r="170">
      <x:c r="A170" s="8"/>
      <x:c r="B170" s="8"/>
      <x:c r="C170" s="8"/>
      <x:c r="D170" s="8"/>
      <x:c r="E170" s="8"/>
      <x:c r="F170" s="68"/>
      <x:c r="G170" s="68"/>
      <x:c r="H170" s="68"/>
      <x:c r="I170" s="8"/>
      <x:c r="J170" s="8"/>
      <x:c r="K170" s="8"/>
      <x:c r="L170" s="8"/>
      <x:c r="M170" s="8"/>
      <x:c r="N170" s="8"/>
    </x:row>
    <x:row r="171">
      <x:c r="A171" s="8"/>
      <x:c r="B171" s="8"/>
      <x:c r="C171" s="8"/>
      <x:c r="D171" s="8"/>
      <x:c r="E171" s="8"/>
      <x:c r="F171" s="68"/>
      <x:c r="G171" s="68"/>
      <x:c r="H171" s="68"/>
      <x:c r="I171" s="8"/>
      <x:c r="J171" s="8"/>
      <x:c r="K171" s="8"/>
      <x:c r="L171" s="8"/>
      <x:c r="M171" s="8"/>
      <x:c r="N171" s="8"/>
    </x:row>
    <x:row r="172">
      <x:c r="A172" s="8"/>
      <x:c r="B172" s="8"/>
      <x:c r="C172" s="8"/>
      <x:c r="D172" s="8"/>
      <x:c r="E172" s="8"/>
      <x:c r="F172" s="68"/>
      <x:c r="G172" s="68"/>
      <x:c r="H172" s="68"/>
      <x:c r="I172" s="8"/>
      <x:c r="J172" s="8"/>
      <x:c r="K172" s="8"/>
      <x:c r="L172" s="8"/>
      <x:c r="M172" s="8"/>
      <x:c r="N172" s="8"/>
    </x:row>
    <x:row r="173">
      <x:c r="A173" s="8"/>
      <x:c r="B173" s="8"/>
      <x:c r="C173" s="8"/>
      <x:c r="D173" s="8"/>
      <x:c r="E173" s="8"/>
      <x:c r="F173" s="68"/>
      <x:c r="G173" s="68"/>
      <x:c r="H173" s="68"/>
      <x:c r="I173" s="8"/>
      <x:c r="J173" s="8"/>
      <x:c r="K173" s="8"/>
      <x:c r="L173" s="8"/>
      <x:c r="M173" s="8"/>
      <x:c r="N173" s="8"/>
    </x:row>
    <x:row r="174">
      <x:c r="A174" s="8"/>
      <x:c r="B174" s="8"/>
      <x:c r="C174" s="8"/>
      <x:c r="D174" s="8"/>
      <x:c r="E174" s="8"/>
      <x:c r="F174" s="68"/>
      <x:c r="G174" s="68"/>
      <x:c r="H174" s="68"/>
      <x:c r="I174" s="8"/>
      <x:c r="J174" s="8"/>
      <x:c r="K174" s="8"/>
      <x:c r="L174" s="8"/>
      <x:c r="M174" s="8"/>
      <x:c r="N174" s="8"/>
    </x:row>
    <x:row r="175">
      <x:c r="A175" s="8"/>
      <x:c r="B175" s="8"/>
      <x:c r="C175" s="8"/>
      <x:c r="D175" s="8"/>
      <x:c r="E175" s="8"/>
      <x:c r="F175" s="68"/>
      <x:c r="G175" s="68"/>
      <x:c r="H175" s="68"/>
      <x:c r="I175" s="8"/>
      <x:c r="J175" s="8"/>
      <x:c r="K175" s="8"/>
      <x:c r="L175" s="8"/>
      <x:c r="M175" s="8"/>
      <x:c r="N175" s="8"/>
    </x:row>
    <x:row r="176">
      <x:c r="A176" s="8"/>
      <x:c r="B176" s="8"/>
      <x:c r="C176" s="8"/>
      <x:c r="D176" s="8"/>
      <x:c r="E176" s="8"/>
      <x:c r="F176" s="68"/>
      <x:c r="G176" s="68"/>
      <x:c r="H176" s="68"/>
      <x:c r="I176" s="8"/>
      <x:c r="J176" s="8"/>
      <x:c r="K176" s="8"/>
      <x:c r="L176" s="8"/>
      <x:c r="M176" s="8"/>
      <x:c r="N176" s="8"/>
    </x:row>
    <x:row r="177">
      <x:c r="A177" s="8"/>
      <x:c r="B177" s="8"/>
      <x:c r="C177" s="8"/>
      <x:c r="D177" s="8"/>
      <x:c r="E177" s="8"/>
      <x:c r="F177" s="68"/>
      <x:c r="G177" s="68"/>
      <x:c r="H177" s="68"/>
      <x:c r="I177" s="8"/>
      <x:c r="J177" s="8"/>
      <x:c r="K177" s="8"/>
      <x:c r="L177" s="8"/>
      <x:c r="M177" s="8"/>
      <x:c r="N177" s="8"/>
    </x:row>
    <x:row r="178">
      <x:c r="A178" s="8"/>
      <x:c r="B178" s="8"/>
      <x:c r="C178" s="8"/>
      <x:c r="D178" s="8"/>
      <x:c r="E178" s="8"/>
      <x:c r="F178" s="68"/>
      <x:c r="G178" s="68"/>
      <x:c r="H178" s="68"/>
      <x:c r="I178" s="8"/>
      <x:c r="J178" s="8"/>
      <x:c r="K178" s="8"/>
      <x:c r="L178" s="8"/>
      <x:c r="M178" s="8"/>
      <x:c r="N178" s="8"/>
    </x:row>
    <x:row r="179">
      <x:c r="A179" s="8"/>
      <x:c r="B179" s="8"/>
      <x:c r="C179" s="8"/>
      <x:c r="D179" s="8"/>
      <x:c r="E179" s="8"/>
      <x:c r="F179" s="68"/>
      <x:c r="G179" s="68"/>
      <x:c r="H179" s="68"/>
      <x:c r="I179" s="8"/>
      <x:c r="J179" s="8"/>
      <x:c r="K179" s="8"/>
      <x:c r="L179" s="8"/>
      <x:c r="M179" s="8"/>
      <x:c r="N179" s="8"/>
    </x:row>
    <x:row r="180">
      <x:c r="A180" s="8"/>
      <x:c r="B180" s="8"/>
      <x:c r="C180" s="8"/>
      <x:c r="D180" s="8"/>
      <x:c r="E180" s="8"/>
      <x:c r="F180" s="68"/>
      <x:c r="G180" s="68"/>
      <x:c r="H180" s="68"/>
      <x:c r="I180" s="8"/>
      <x:c r="J180" s="8"/>
      <x:c r="K180" s="8"/>
      <x:c r="L180" s="8"/>
      <x:c r="M180" s="8"/>
      <x:c r="N180" s="8"/>
    </x:row>
    <x:row r="181">
      <x:c r="A181" s="8"/>
      <x:c r="B181" s="8"/>
      <x:c r="C181" s="8"/>
      <x:c r="D181" s="8"/>
      <x:c r="E181" s="8"/>
      <x:c r="F181" s="68"/>
      <x:c r="G181" s="68"/>
      <x:c r="H181" s="68"/>
      <x:c r="I181" s="8"/>
      <x:c r="J181" s="8"/>
      <x:c r="K181" s="8"/>
      <x:c r="L181" s="8"/>
      <x:c r="M181" s="8"/>
      <x:c r="N181" s="8"/>
    </x:row>
    <x:row r="182">
      <x:c r="A182" s="8"/>
      <x:c r="B182" s="8"/>
      <x:c r="C182" s="8"/>
      <x:c r="D182" s="8"/>
      <x:c r="E182" s="8"/>
      <x:c r="F182" s="68"/>
      <x:c r="G182" s="68"/>
      <x:c r="H182" s="68"/>
      <x:c r="I182" s="8"/>
      <x:c r="J182" s="8"/>
      <x:c r="K182" s="8"/>
      <x:c r="L182" s="8"/>
      <x:c r="M182" s="8"/>
      <x:c r="N182" s="8"/>
    </x:row>
    <x:row r="183">
      <x:c r="A183" s="8"/>
      <x:c r="B183" s="8"/>
      <x:c r="C183" s="8"/>
      <x:c r="D183" s="8"/>
      <x:c r="E183" s="8"/>
      <x:c r="F183" s="68"/>
      <x:c r="G183" s="68"/>
      <x:c r="H183" s="68"/>
      <x:c r="I183" s="8"/>
      <x:c r="J183" s="8"/>
      <x:c r="K183" s="8"/>
      <x:c r="L183" s="8"/>
      <x:c r="M183" s="8"/>
      <x:c r="N183" s="8"/>
    </x:row>
    <x:row r="184">
      <x:c r="A184" s="8"/>
      <x:c r="B184" s="8"/>
      <x:c r="C184" s="8"/>
      <x:c r="D184" s="8"/>
      <x:c r="E184" s="8"/>
      <x:c r="F184" s="68"/>
      <x:c r="G184" s="68"/>
      <x:c r="H184" s="68"/>
      <x:c r="I184" s="8"/>
      <x:c r="J184" s="8"/>
      <x:c r="K184" s="8"/>
      <x:c r="L184" s="8"/>
      <x:c r="M184" s="8"/>
      <x:c r="N184" s="8"/>
    </x:row>
    <x:row r="185">
      <x:c r="A185" s="8"/>
      <x:c r="B185" s="8"/>
      <x:c r="C185" s="8"/>
      <x:c r="D185" s="8"/>
      <x:c r="E185" s="8"/>
      <x:c r="F185" s="68"/>
      <x:c r="G185" s="68"/>
      <x:c r="H185" s="68"/>
      <x:c r="I185" s="8"/>
      <x:c r="J185" s="8"/>
      <x:c r="K185" s="8"/>
      <x:c r="L185" s="8"/>
      <x:c r="M185" s="8"/>
      <x:c r="N185" s="8"/>
    </x:row>
    <x:row r="186">
      <x:c r="A186" s="8"/>
      <x:c r="B186" s="8"/>
      <x:c r="C186" s="8"/>
      <x:c r="D186" s="8"/>
      <x:c r="E186" s="8"/>
      <x:c r="F186" s="68"/>
      <x:c r="G186" s="68"/>
      <x:c r="H186" s="68"/>
      <x:c r="I186" s="8"/>
      <x:c r="J186" s="8"/>
      <x:c r="K186" s="8"/>
      <x:c r="L186" s="8"/>
      <x:c r="M186" s="8"/>
      <x:c r="N186" s="8"/>
    </x:row>
    <x:row r="187">
      <x:c r="A187" s="8"/>
      <x:c r="B187" s="8"/>
      <x:c r="C187" s="8"/>
      <x:c r="D187" s="8"/>
      <x:c r="E187" s="8"/>
      <x:c r="F187" s="68"/>
      <x:c r="G187" s="68"/>
      <x:c r="H187" s="68"/>
      <x:c r="I187" s="8"/>
      <x:c r="J187" s="8"/>
      <x:c r="K187" s="8"/>
      <x:c r="L187" s="8"/>
      <x:c r="M187" s="8"/>
      <x:c r="N187" s="8"/>
    </x:row>
    <x:row r="188">
      <x:c r="A188" s="8"/>
      <x:c r="B188" s="8"/>
      <x:c r="C188" s="8"/>
      <x:c r="D188" s="8"/>
      <x:c r="E188" s="8"/>
      <x:c r="F188" s="68"/>
      <x:c r="G188" s="68"/>
      <x:c r="H188" s="68"/>
      <x:c r="I188" s="8"/>
      <x:c r="J188" s="8"/>
      <x:c r="K188" s="8"/>
      <x:c r="L188" s="8"/>
      <x:c r="M188" s="8"/>
      <x:c r="N188" s="8"/>
    </x:row>
    <x:row r="189">
      <x:c r="A189" s="8"/>
      <x:c r="B189" s="8"/>
      <x:c r="C189" s="8"/>
      <x:c r="D189" s="8"/>
      <x:c r="E189" s="8"/>
      <x:c r="F189" s="68"/>
      <x:c r="G189" s="68"/>
      <x:c r="H189" s="68"/>
      <x:c r="I189" s="8"/>
      <x:c r="J189" s="8"/>
      <x:c r="K189" s="8"/>
      <x:c r="L189" s="8"/>
      <x:c r="M189" s="8"/>
      <x:c r="N189" s="8"/>
    </x:row>
    <x:row r="190">
      <x:c r="A190" s="8"/>
      <x:c r="B190" s="8"/>
      <x:c r="C190" s="8"/>
      <x:c r="D190" s="8"/>
      <x:c r="E190" s="8"/>
      <x:c r="F190" s="68"/>
      <x:c r="G190" s="68"/>
      <x:c r="H190" s="68"/>
      <x:c r="I190" s="8"/>
      <x:c r="J190" s="8"/>
      <x:c r="K190" s="8"/>
      <x:c r="L190" s="8"/>
      <x:c r="M190" s="8"/>
      <x:c r="N190" s="8"/>
    </x:row>
    <x:row r="191">
      <x:c r="A191" s="8"/>
      <x:c r="B191" s="8"/>
      <x:c r="C191" s="8"/>
      <x:c r="D191" s="8"/>
      <x:c r="E191" s="8"/>
      <x:c r="F191" s="68"/>
      <x:c r="G191" s="68"/>
      <x:c r="H191" s="68"/>
      <x:c r="I191" s="8"/>
      <x:c r="J191" s="8"/>
      <x:c r="K191" s="8"/>
      <x:c r="L191" s="8"/>
      <x:c r="M191" s="8"/>
      <x:c r="N191" s="8"/>
    </x:row>
    <x:row r="192">
      <x:c r="A192" s="8"/>
      <x:c r="B192" s="8"/>
      <x:c r="C192" s="8"/>
      <x:c r="D192" s="8"/>
      <x:c r="E192" s="8"/>
      <x:c r="F192" s="68"/>
      <x:c r="G192" s="68"/>
      <x:c r="H192" s="68"/>
      <x:c r="I192" s="8"/>
      <x:c r="J192" s="8"/>
      <x:c r="K192" s="8"/>
      <x:c r="L192" s="8"/>
      <x:c r="M192" s="8"/>
      <x:c r="N192" s="8"/>
    </x:row>
    <x:row r="193">
      <x:c r="A193" s="8"/>
      <x:c r="B193" s="8"/>
      <x:c r="C193" s="8"/>
      <x:c r="D193" s="8"/>
      <x:c r="E193" s="8"/>
      <x:c r="F193" s="68"/>
      <x:c r="G193" s="68"/>
      <x:c r="H193" s="68"/>
      <x:c r="I193" s="8"/>
      <x:c r="J193" s="8"/>
      <x:c r="K193" s="8"/>
      <x:c r="L193" s="8"/>
      <x:c r="M193" s="8"/>
      <x:c r="N193" s="8"/>
    </x:row>
    <x:row r="194">
      <x:c r="A194" s="8"/>
      <x:c r="B194" s="8"/>
      <x:c r="C194" s="8"/>
      <x:c r="D194" s="8"/>
      <x:c r="E194" s="8"/>
      <x:c r="F194" s="68"/>
      <x:c r="G194" s="68"/>
      <x:c r="H194" s="68"/>
      <x:c r="I194" s="8"/>
      <x:c r="J194" s="8"/>
      <x:c r="K194" s="8"/>
      <x:c r="L194" s="8"/>
      <x:c r="M194" s="8"/>
      <x:c r="N194" s="8"/>
    </x:row>
    <x:row r="195">
      <x:c r="A195" s="8"/>
      <x:c r="B195" s="8"/>
      <x:c r="C195" s="8"/>
      <x:c r="D195" s="8"/>
      <x:c r="E195" s="8"/>
      <x:c r="F195" s="68"/>
      <x:c r="G195" s="68"/>
      <x:c r="H195" s="68"/>
      <x:c r="I195" s="8"/>
      <x:c r="J195" s="8"/>
      <x:c r="K195" s="8"/>
      <x:c r="L195" s="8"/>
      <x:c r="M195" s="8"/>
      <x:c r="N195" s="8"/>
    </x:row>
    <x:row r="196">
      <x:c r="A196" s="8"/>
      <x:c r="B196" s="8"/>
      <x:c r="C196" s="8"/>
      <x:c r="D196" s="8"/>
      <x:c r="E196" s="8"/>
      <x:c r="F196" s="68"/>
      <x:c r="G196" s="68"/>
      <x:c r="H196" s="68"/>
      <x:c r="I196" s="8"/>
      <x:c r="J196" s="8"/>
      <x:c r="K196" s="8"/>
      <x:c r="L196" s="8"/>
      <x:c r="M196" s="8"/>
      <x:c r="N196" s="8"/>
    </x:row>
    <x:row r="197">
      <x:c r="A197" s="8"/>
      <x:c r="B197" s="8"/>
      <x:c r="C197" s="8"/>
      <x:c r="D197" s="8"/>
      <x:c r="E197" s="8"/>
      <x:c r="F197" s="68"/>
      <x:c r="G197" s="68"/>
      <x:c r="H197" s="68"/>
      <x:c r="I197" s="8"/>
      <x:c r="J197" s="8"/>
      <x:c r="K197" s="8"/>
      <x:c r="L197" s="8"/>
      <x:c r="M197" s="8"/>
      <x:c r="N197" s="8"/>
    </x:row>
    <x:row r="198">
      <x:c r="A198" s="8"/>
      <x:c r="B198" s="8"/>
      <x:c r="C198" s="8"/>
      <x:c r="D198" s="8"/>
      <x:c r="E198" s="8"/>
      <x:c r="F198" s="68"/>
      <x:c r="G198" s="68"/>
      <x:c r="H198" s="68"/>
      <x:c r="I198" s="8"/>
      <x:c r="J198" s="8"/>
      <x:c r="K198" s="8"/>
      <x:c r="L198" s="8"/>
      <x:c r="M198" s="8"/>
      <x:c r="N198" s="8"/>
    </x:row>
    <x:row r="199">
      <x:c r="A199" s="8"/>
      <x:c r="B199" s="8"/>
      <x:c r="C199" s="8"/>
      <x:c r="D199" s="8"/>
      <x:c r="E199" s="8"/>
      <x:c r="F199" s="68"/>
      <x:c r="G199" s="68"/>
      <x:c r="H199" s="68"/>
      <x:c r="I199" s="8"/>
      <x:c r="J199" s="8"/>
      <x:c r="K199" s="8"/>
      <x:c r="L199" s="8"/>
      <x:c r="M199" s="8"/>
      <x:c r="N199" s="8"/>
    </x:row>
    <x:row r="200">
      <x:c r="A200" s="8"/>
      <x:c r="B200" s="8"/>
      <x:c r="C200" s="8"/>
      <x:c r="D200" s="8"/>
      <x:c r="E200" s="8"/>
      <x:c r="F200" s="68"/>
      <x:c r="G200" s="68"/>
      <x:c r="H200" s="68"/>
      <x:c r="I200" s="8"/>
      <x:c r="J200" s="8"/>
      <x:c r="K200" s="8"/>
      <x:c r="L200" s="8"/>
      <x:c r="M200" s="8"/>
      <x:c r="N200" s="8"/>
    </x:row>
    <x:row r="201">
      <x:c r="A201" s="8"/>
      <x:c r="B201" s="8"/>
      <x:c r="C201" s="8"/>
      <x:c r="D201" s="8"/>
      <x:c r="E201" s="8"/>
      <x:c r="F201" s="68"/>
      <x:c r="G201" s="68"/>
      <x:c r="H201" s="68"/>
      <x:c r="I201" s="8"/>
      <x:c r="J201" s="8"/>
      <x:c r="K201" s="8"/>
      <x:c r="L201" s="8"/>
      <x:c r="M201" s="8"/>
      <x:c r="N201" s="8"/>
    </x:row>
    <x:row r="202">
      <x:c r="A202" s="8"/>
      <x:c r="B202" s="8"/>
      <x:c r="C202" s="8"/>
      <x:c r="D202" s="8"/>
      <x:c r="E202" s="8"/>
      <x:c r="F202" s="68"/>
      <x:c r="G202" s="68"/>
      <x:c r="H202" s="68"/>
      <x:c r="I202" s="8"/>
      <x:c r="J202" s="8"/>
      <x:c r="K202" s="8"/>
      <x:c r="L202" s="8"/>
      <x:c r="M202" s="8"/>
      <x:c r="N202" s="8"/>
    </x:row>
    <x:row r="203">
      <x:c r="A203" s="8"/>
      <x:c r="B203" s="8"/>
      <x:c r="C203" s="8"/>
      <x:c r="D203" s="8"/>
      <x:c r="E203" s="8"/>
      <x:c r="F203" s="68"/>
      <x:c r="G203" s="68"/>
      <x:c r="H203" s="68"/>
      <x:c r="I203" s="8"/>
      <x:c r="J203" s="8"/>
      <x:c r="K203" s="8"/>
      <x:c r="L203" s="8"/>
      <x:c r="M203" s="8"/>
      <x:c r="N203" s="8"/>
    </x:row>
    <x:row r="204">
      <x:c r="A204" s="8"/>
      <x:c r="B204" s="8"/>
      <x:c r="C204" s="8"/>
      <x:c r="D204" s="8"/>
      <x:c r="E204" s="8"/>
      <x:c r="F204" s="68"/>
      <x:c r="G204" s="68"/>
      <x:c r="H204" s="68"/>
      <x:c r="I204" s="8"/>
      <x:c r="J204" s="8"/>
      <x:c r="K204" s="8"/>
      <x:c r="L204" s="8"/>
      <x:c r="M204" s="8"/>
      <x:c r="N204" s="8"/>
    </x:row>
  </x:sheetData>
  <x:mergeCells>
    <x:mergeCell ref="A1:N1"/>
    <x:mergeCell ref="A2:N2"/>
  </x:mergeCells>
  <x:dataValidations count="2">
    <x:dataValidation type="list" sqref="C5:C204">
      <x:formula1>"Git,Host settings,CI,Artifact/registry,Deployment,Security,Operations,Identity/audit,Portfolio/service catalog,Documentation,Attestation"</x:formula1>
    </x:dataValidation>
    <x:dataValidation type="list" sqref="K5:K204">
      <x:formula1>"E0,E1,E2,E3,E4"</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24" hidden="0" customWidth="1"/>
    <x:col min="4" max="4" width="28" hidden="0" customWidth="1"/>
    <x:col min="5" max="5" width="12" hidden="0" customWidth="1"/>
    <x:col min="6" max="6" width="10" hidden="0" customWidth="1"/>
    <x:col min="7" max="7" width="42" hidden="0" customWidth="1"/>
    <x:col min="8" max="8" width="38" hidden="0" customWidth="1"/>
    <x:col min="9" max="9" width="38" hidden="0" customWidth="1"/>
    <x:col min="10" max="10" width="42" hidden="0" customWidth="1"/>
    <x:col min="11" max="11" width="20" hidden="0" customWidth="1"/>
    <x:col min="12" max="12" width="14" hidden="0" customWidth="1"/>
    <x:col min="13" max="13" width="16" hidden="0" customWidth="1"/>
    <x:col min="14" max="14" width="18" hidden="0" customWidth="1"/>
    <x:col min="15" max="15" width="30" hidden="0" customWidth="1"/>
  </x:cols>
  <x:sheetData>
    <x:row r="1" ht="28" customHeight="1">
      <x:c r="A1" s="3" t="str">
        <x:v>Findings and Remediation Priorities</x:v>
      </x:c>
      <x:c r="B1" s="3" t="str">
        <x:v>Findings and Remediation Priorities</x:v>
      </x:c>
      <x:c r="C1" s="3" t="str">
        <x:v>Findings and Remediation Priorities</x:v>
      </x:c>
      <x:c r="D1" s="3" t="str">
        <x:v>Findings and Remediation Priorities</x:v>
      </x:c>
      <x:c r="E1" s="3" t="str">
        <x:v>Findings and Remediation Priorities</x:v>
      </x:c>
      <x:c r="F1" s="3" t="str">
        <x:v>Findings and Remediation Priorities</x:v>
      </x:c>
      <x:c r="G1" s="3" t="str">
        <x:v>Findings and Remediation Priorities</x:v>
      </x:c>
      <x:c r="H1" s="3" t="str">
        <x:v>Findings and Remediation Priorities</x:v>
      </x:c>
      <x:c r="I1" s="3" t="str">
        <x:v>Findings and Remediation Priorities</x:v>
      </x:c>
      <x:c r="J1" s="3" t="str">
        <x:v>Findings and Remediation Priorities</x:v>
      </x:c>
      <x:c r="K1" s="3" t="str">
        <x:v>Findings and Remediation Priorities</x:v>
      </x:c>
      <x:c r="L1" s="3" t="str">
        <x:v>Findings and Remediation Priorities</x:v>
      </x:c>
      <x:c r="M1" s="3" t="str">
        <x:v>Findings and Remediation Priorities</x:v>
      </x:c>
      <x:c r="N1" s="3" t="str">
        <x:v>Findings and Remediation Priorities</x:v>
      </x:c>
      <x:c r="O1" s="3" t="str">
        <x:v>Findings and Remediation Priorities</x:v>
      </x:c>
    </x:row>
    <x:row r="2" ht="30" customHeight="1">
      <x:c r="A2" s="7" t="str">
        <x:v>Prioritize gates and Critical-tier exposure first. Recommendations describe the desired outcome, not a mandated vendor tool.</x:v>
      </x:c>
      <x:c r="B2" s="7" t="str">
        <x:v>Prioritize gates and Critical-tier exposure first. Recommendations describe the desired outcome, not a mandated vendor tool.</x:v>
      </x:c>
      <x:c r="C2" s="7" t="str">
        <x:v>Prioritize gates and Critical-tier exposure first. Recommendations describe the desired outcome, not a mandated vendor tool.</x:v>
      </x:c>
      <x:c r="D2" s="7" t="str">
        <x:v>Prioritize gates and Critical-tier exposure first. Recommendations describe the desired outcome, not a mandated vendor tool.</x:v>
      </x:c>
      <x:c r="E2" s="7" t="str">
        <x:v>Prioritize gates and Critical-tier exposure first. Recommendations describe the desired outcome, not a mandated vendor tool.</x:v>
      </x:c>
      <x:c r="F2" s="7" t="str">
        <x:v>Prioritize gates and Critical-tier exposure first. Recommendations describe the desired outcome, not a mandated vendor tool.</x:v>
      </x:c>
      <x:c r="G2" s="7" t="str">
        <x:v>Prioritize gates and Critical-tier exposure first. Recommendations describe the desired outcome, not a mandated vendor tool.</x:v>
      </x:c>
      <x:c r="H2" s="7" t="str">
        <x:v>Prioritize gates and Critical-tier exposure first. Recommendations describe the desired outcome, not a mandated vendor tool.</x:v>
      </x:c>
      <x:c r="I2" s="7" t="str">
        <x:v>Prioritize gates and Critical-tier exposure first. Recommendations describe the desired outcome, not a mandated vendor tool.</x:v>
      </x:c>
      <x:c r="J2" s="7" t="str">
        <x:v>Prioritize gates and Critical-tier exposure first. Recommendations describe the desired outcome, not a mandated vendor tool.</x:v>
      </x:c>
      <x:c r="K2" s="7" t="str">
        <x:v>Prioritize gates and Critical-tier exposure first. Recommendations describe the desired outcome, not a mandated vendor tool.</x:v>
      </x:c>
      <x:c r="L2" s="7" t="str">
        <x:v>Prioritize gates and Critical-tier exposure first. Recommendations describe the desired outcome, not a mandated vendor tool.</x:v>
      </x:c>
      <x:c r="M2" s="7" t="str">
        <x:v>Prioritize gates and Critical-tier exposure first. Recommendations describe the desired outcome, not a mandated vendor tool.</x:v>
      </x:c>
      <x:c r="N2" s="7" t="str">
        <x:v>Prioritize gates and Critical-tier exposure first. Recommendations describe the desired outcome, not a mandated vendor tool.</x:v>
      </x:c>
      <x:c r="O2" s="7" t="str">
        <x:v>Prioritize gates and Critical-tier exposure first. Recommendations describe the desired outcome, not a mandated vendor tool.</x:v>
      </x:c>
    </x:row>
    <x:row r="4" ht="30" customHeight="1">
      <x:c r="A4" s="24" t="str">
        <x:v>Finding ID</x:v>
      </x:c>
      <x:c r="B4" s="24" t="str">
        <x:v>Control IDs</x:v>
      </x:c>
      <x:c r="C4" s="24" t="str">
        <x:v>Affected unit / scope</x:v>
      </x:c>
      <x:c r="D4" s="24" t="str">
        <x:v>Title</x:v>
      </x:c>
      <x:c r="E4" s="24" t="str">
        <x:v>Severity</x:v>
      </x:c>
      <x:c r="F4" s="24" t="str">
        <x:v>Priority</x:v>
      </x:c>
      <x:c r="G4" s="24" t="str">
        <x:v>Observed condition / evidence</x:v>
      </x:c>
      <x:c r="H4" s="24" t="str">
        <x:v>Expected outcome</x:v>
      </x:c>
      <x:c r="I4" s="24" t="str">
        <x:v>Risk statement</x:v>
      </x:c>
      <x:c r="J4" s="24" t="str">
        <x:v>Recommended outcome</x:v>
      </x:c>
      <x:c r="K4" s="24" t="str">
        <x:v>Owner</x:v>
      </x:c>
      <x:c r="L4" s="24" t="str">
        <x:v>Target date</x:v>
      </x:c>
      <x:c r="M4" s="24" t="str">
        <x:v>Status</x:v>
      </x:c>
      <x:c r="N4" s="24" t="str">
        <x:v>Decision / exception ID</x:v>
      </x:c>
      <x:c r="O4" s="24" t="str">
        <x:v>Closure evidence</x:v>
      </x:c>
    </x:row>
    <x:row r="5">
      <x:c r="A5" s="53"/>
      <x:c r="B5" s="53"/>
      <x:c r="C5" s="53"/>
      <x:c r="D5" s="53"/>
      <x:c r="E5" s="53"/>
      <x:c r="F5" s="53"/>
      <x:c r="G5" s="53"/>
      <x:c r="H5" s="53"/>
      <x:c r="I5" s="53"/>
      <x:c r="J5" s="53"/>
      <x:c r="K5" s="53"/>
      <x:c r="L5" s="67"/>
      <x:c r="M5" s="53"/>
      <x:c r="N5" s="53"/>
      <x:c r="O5" s="53"/>
    </x:row>
    <x:row r="6">
      <x:c r="A6" s="53"/>
      <x:c r="B6" s="53"/>
      <x:c r="C6" s="53"/>
      <x:c r="D6" s="53"/>
      <x:c r="E6" s="53"/>
      <x:c r="F6" s="53"/>
      <x:c r="G6" s="53"/>
      <x:c r="H6" s="53"/>
      <x:c r="I6" s="53"/>
      <x:c r="J6" s="53"/>
      <x:c r="K6" s="53"/>
      <x:c r="L6" s="67"/>
      <x:c r="M6" s="53"/>
      <x:c r="N6" s="53"/>
      <x:c r="O6" s="53"/>
    </x:row>
    <x:row r="7">
      <x:c r="A7" s="53"/>
      <x:c r="B7" s="53"/>
      <x:c r="C7" s="53"/>
      <x:c r="D7" s="53"/>
      <x:c r="E7" s="53"/>
      <x:c r="F7" s="53"/>
      <x:c r="G7" s="53"/>
      <x:c r="H7" s="53"/>
      <x:c r="I7" s="53"/>
      <x:c r="J7" s="53"/>
      <x:c r="K7" s="53"/>
      <x:c r="L7" s="67"/>
      <x:c r="M7" s="53"/>
      <x:c r="N7" s="53"/>
      <x:c r="O7" s="53"/>
    </x:row>
    <x:row r="8">
      <x:c r="A8" s="53"/>
      <x:c r="B8" s="53"/>
      <x:c r="C8" s="53"/>
      <x:c r="D8" s="53"/>
      <x:c r="E8" s="53"/>
      <x:c r="F8" s="53"/>
      <x:c r="G8" s="53"/>
      <x:c r="H8" s="53"/>
      <x:c r="I8" s="53"/>
      <x:c r="J8" s="53"/>
      <x:c r="K8" s="53"/>
      <x:c r="L8" s="67"/>
      <x:c r="M8" s="53"/>
      <x:c r="N8" s="53"/>
      <x:c r="O8" s="53"/>
    </x:row>
    <x:row r="9">
      <x:c r="A9" s="53"/>
      <x:c r="B9" s="53"/>
      <x:c r="C9" s="53"/>
      <x:c r="D9" s="53"/>
      <x:c r="E9" s="53"/>
      <x:c r="F9" s="53"/>
      <x:c r="G9" s="53"/>
      <x:c r="H9" s="53"/>
      <x:c r="I9" s="53"/>
      <x:c r="J9" s="53"/>
      <x:c r="K9" s="53"/>
      <x:c r="L9" s="67"/>
      <x:c r="M9" s="53"/>
      <x:c r="N9" s="53"/>
      <x:c r="O9" s="53"/>
    </x:row>
    <x:row r="10">
      <x:c r="A10" s="53"/>
      <x:c r="B10" s="53"/>
      <x:c r="C10" s="53"/>
      <x:c r="D10" s="53"/>
      <x:c r="E10" s="53"/>
      <x:c r="F10" s="53"/>
      <x:c r="G10" s="53"/>
      <x:c r="H10" s="53"/>
      <x:c r="I10" s="53"/>
      <x:c r="J10" s="53"/>
      <x:c r="K10" s="53"/>
      <x:c r="L10" s="67"/>
      <x:c r="M10" s="53"/>
      <x:c r="N10" s="53"/>
      <x:c r="O10" s="53"/>
    </x:row>
    <x:row r="11">
      <x:c r="A11" s="53"/>
      <x:c r="B11" s="53"/>
      <x:c r="C11" s="53"/>
      <x:c r="D11" s="53"/>
      <x:c r="E11" s="53"/>
      <x:c r="F11" s="53"/>
      <x:c r="G11" s="53"/>
      <x:c r="H11" s="53"/>
      <x:c r="I11" s="53"/>
      <x:c r="J11" s="53"/>
      <x:c r="K11" s="53"/>
      <x:c r="L11" s="67"/>
      <x:c r="M11" s="53"/>
      <x:c r="N11" s="53"/>
      <x:c r="O11" s="53"/>
    </x:row>
    <x:row r="12">
      <x:c r="A12" s="53"/>
      <x:c r="B12" s="53"/>
      <x:c r="C12" s="53"/>
      <x:c r="D12" s="53"/>
      <x:c r="E12" s="53"/>
      <x:c r="F12" s="53"/>
      <x:c r="G12" s="53"/>
      <x:c r="H12" s="53"/>
      <x:c r="I12" s="53"/>
      <x:c r="J12" s="53"/>
      <x:c r="K12" s="53"/>
      <x:c r="L12" s="67"/>
      <x:c r="M12" s="53"/>
      <x:c r="N12" s="53"/>
      <x:c r="O12" s="53"/>
    </x:row>
    <x:row r="13">
      <x:c r="A13" s="53"/>
      <x:c r="B13" s="53"/>
      <x:c r="C13" s="53"/>
      <x:c r="D13" s="53"/>
      <x:c r="E13" s="53"/>
      <x:c r="F13" s="53"/>
      <x:c r="G13" s="53"/>
      <x:c r="H13" s="53"/>
      <x:c r="I13" s="53"/>
      <x:c r="J13" s="53"/>
      <x:c r="K13" s="53"/>
      <x:c r="L13" s="67"/>
      <x:c r="M13" s="53"/>
      <x:c r="N13" s="53"/>
      <x:c r="O13" s="53"/>
    </x:row>
    <x:row r="14">
      <x:c r="A14" s="53"/>
      <x:c r="B14" s="53"/>
      <x:c r="C14" s="53"/>
      <x:c r="D14" s="53"/>
      <x:c r="E14" s="53"/>
      <x:c r="F14" s="53"/>
      <x:c r="G14" s="53"/>
      <x:c r="H14" s="53"/>
      <x:c r="I14" s="53"/>
      <x:c r="J14" s="53"/>
      <x:c r="K14" s="53"/>
      <x:c r="L14" s="67"/>
      <x:c r="M14" s="53"/>
      <x:c r="N14" s="53"/>
      <x:c r="O14" s="53"/>
    </x:row>
    <x:row r="15">
      <x:c r="A15" s="53"/>
      <x:c r="B15" s="53"/>
      <x:c r="C15" s="53"/>
      <x:c r="D15" s="53"/>
      <x:c r="E15" s="53"/>
      <x:c r="F15" s="53"/>
      <x:c r="G15" s="53"/>
      <x:c r="H15" s="53"/>
      <x:c r="I15" s="53"/>
      <x:c r="J15" s="53"/>
      <x:c r="K15" s="53"/>
      <x:c r="L15" s="67"/>
      <x:c r="M15" s="53"/>
      <x:c r="N15" s="53"/>
      <x:c r="O15" s="53"/>
    </x:row>
    <x:row r="16">
      <x:c r="A16" s="53"/>
      <x:c r="B16" s="53"/>
      <x:c r="C16" s="53"/>
      <x:c r="D16" s="53"/>
      <x:c r="E16" s="53"/>
      <x:c r="F16" s="53"/>
      <x:c r="G16" s="53"/>
      <x:c r="H16" s="53"/>
      <x:c r="I16" s="53"/>
      <x:c r="J16" s="53"/>
      <x:c r="K16" s="53"/>
      <x:c r="L16" s="67"/>
      <x:c r="M16" s="53"/>
      <x:c r="N16" s="53"/>
      <x:c r="O16" s="53"/>
    </x:row>
    <x:row r="17">
      <x:c r="A17" s="53"/>
      <x:c r="B17" s="53"/>
      <x:c r="C17" s="53"/>
      <x:c r="D17" s="53"/>
      <x:c r="E17" s="53"/>
      <x:c r="F17" s="53"/>
      <x:c r="G17" s="53"/>
      <x:c r="H17" s="53"/>
      <x:c r="I17" s="53"/>
      <x:c r="J17" s="53"/>
      <x:c r="K17" s="53"/>
      <x:c r="L17" s="67"/>
      <x:c r="M17" s="53"/>
      <x:c r="N17" s="53"/>
      <x:c r="O17" s="53"/>
    </x:row>
    <x:row r="18">
      <x:c r="A18" s="53"/>
      <x:c r="B18" s="53"/>
      <x:c r="C18" s="53"/>
      <x:c r="D18" s="53"/>
      <x:c r="E18" s="53"/>
      <x:c r="F18" s="53"/>
      <x:c r="G18" s="53"/>
      <x:c r="H18" s="53"/>
      <x:c r="I18" s="53"/>
      <x:c r="J18" s="53"/>
      <x:c r="K18" s="53"/>
      <x:c r="L18" s="67"/>
      <x:c r="M18" s="53"/>
      <x:c r="N18" s="53"/>
      <x:c r="O18" s="53"/>
    </x:row>
    <x:row r="19">
      <x:c r="A19" s="8"/>
      <x:c r="B19" s="8"/>
      <x:c r="C19" s="8"/>
      <x:c r="D19" s="8"/>
      <x:c r="E19" s="8"/>
      <x:c r="F19" s="8"/>
      <x:c r="G19" s="8"/>
      <x:c r="H19" s="8"/>
      <x:c r="I19" s="8"/>
      <x:c r="J19" s="8"/>
      <x:c r="K19" s="8"/>
      <x:c r="L19" s="68"/>
      <x:c r="M19" s="8"/>
      <x:c r="N19" s="8"/>
      <x:c r="O19" s="8"/>
    </x:row>
    <x:row r="20">
      <x:c r="A20" s="8"/>
      <x:c r="B20" s="8"/>
      <x:c r="C20" s="8"/>
      <x:c r="D20" s="8"/>
      <x:c r="E20" s="8"/>
      <x:c r="F20" s="8"/>
      <x:c r="G20" s="8"/>
      <x:c r="H20" s="8"/>
      <x:c r="I20" s="8"/>
      <x:c r="J20" s="8"/>
      <x:c r="K20" s="8"/>
      <x:c r="L20" s="68"/>
      <x:c r="M20" s="8"/>
      <x:c r="N20" s="8"/>
      <x:c r="O20" s="8"/>
    </x:row>
    <x:row r="21">
      <x:c r="A21" s="8"/>
      <x:c r="B21" s="8"/>
      <x:c r="C21" s="8"/>
      <x:c r="D21" s="8"/>
      <x:c r="E21" s="8"/>
      <x:c r="F21" s="8"/>
      <x:c r="G21" s="8"/>
      <x:c r="H21" s="8"/>
      <x:c r="I21" s="8"/>
      <x:c r="J21" s="8"/>
      <x:c r="K21" s="8"/>
      <x:c r="L21" s="68"/>
      <x:c r="M21" s="8"/>
      <x:c r="N21" s="8"/>
      <x:c r="O21" s="8"/>
    </x:row>
    <x:row r="22">
      <x:c r="A22" s="8"/>
      <x:c r="B22" s="8"/>
      <x:c r="C22" s="8"/>
      <x:c r="D22" s="8"/>
      <x:c r="E22" s="8"/>
      <x:c r="F22" s="8"/>
      <x:c r="G22" s="8"/>
      <x:c r="H22" s="8"/>
      <x:c r="I22" s="8"/>
      <x:c r="J22" s="8"/>
      <x:c r="K22" s="8"/>
      <x:c r="L22" s="68"/>
      <x:c r="M22" s="8"/>
      <x:c r="N22" s="8"/>
      <x:c r="O22" s="8"/>
    </x:row>
    <x:row r="23">
      <x:c r="A23" s="8"/>
      <x:c r="B23" s="8"/>
      <x:c r="C23" s="8"/>
      <x:c r="D23" s="8"/>
      <x:c r="E23" s="8"/>
      <x:c r="F23" s="8"/>
      <x:c r="G23" s="8"/>
      <x:c r="H23" s="8"/>
      <x:c r="I23" s="8"/>
      <x:c r="J23" s="8"/>
      <x:c r="K23" s="8"/>
      <x:c r="L23" s="68"/>
      <x:c r="M23" s="8"/>
      <x:c r="N23" s="8"/>
      <x:c r="O23" s="8"/>
    </x:row>
    <x:row r="24">
      <x:c r="A24" s="8"/>
      <x:c r="B24" s="8"/>
      <x:c r="C24" s="8"/>
      <x:c r="D24" s="8"/>
      <x:c r="E24" s="8"/>
      <x:c r="F24" s="8"/>
      <x:c r="G24" s="8"/>
      <x:c r="H24" s="8"/>
      <x:c r="I24" s="8"/>
      <x:c r="J24" s="8"/>
      <x:c r="K24" s="8"/>
      <x:c r="L24" s="68"/>
      <x:c r="M24" s="8"/>
      <x:c r="N24" s="8"/>
      <x:c r="O24" s="8"/>
    </x:row>
    <x:row r="25">
      <x:c r="A25" s="8"/>
      <x:c r="B25" s="8"/>
      <x:c r="C25" s="8"/>
      <x:c r="D25" s="8"/>
      <x:c r="E25" s="8"/>
      <x:c r="F25" s="8"/>
      <x:c r="G25" s="8"/>
      <x:c r="H25" s="8"/>
      <x:c r="I25" s="8"/>
      <x:c r="J25" s="8"/>
      <x:c r="K25" s="8"/>
      <x:c r="L25" s="68"/>
      <x:c r="M25" s="8"/>
      <x:c r="N25" s="8"/>
      <x:c r="O25" s="8"/>
    </x:row>
    <x:row r="26">
      <x:c r="A26" s="8"/>
      <x:c r="B26" s="8"/>
      <x:c r="C26" s="8"/>
      <x:c r="D26" s="8"/>
      <x:c r="E26" s="8"/>
      <x:c r="F26" s="8"/>
      <x:c r="G26" s="8"/>
      <x:c r="H26" s="8"/>
      <x:c r="I26" s="8"/>
      <x:c r="J26" s="8"/>
      <x:c r="K26" s="8"/>
      <x:c r="L26" s="68"/>
      <x:c r="M26" s="8"/>
      <x:c r="N26" s="8"/>
      <x:c r="O26" s="8"/>
    </x:row>
    <x:row r="27">
      <x:c r="A27" s="8"/>
      <x:c r="B27" s="8"/>
      <x:c r="C27" s="8"/>
      <x:c r="D27" s="8"/>
      <x:c r="E27" s="8"/>
      <x:c r="F27" s="8"/>
      <x:c r="G27" s="8"/>
      <x:c r="H27" s="8"/>
      <x:c r="I27" s="8"/>
      <x:c r="J27" s="8"/>
      <x:c r="K27" s="8"/>
      <x:c r="L27" s="68"/>
      <x:c r="M27" s="8"/>
      <x:c r="N27" s="8"/>
      <x:c r="O27" s="8"/>
    </x:row>
    <x:row r="28">
      <x:c r="A28" s="8"/>
      <x:c r="B28" s="8"/>
      <x:c r="C28" s="8"/>
      <x:c r="D28" s="8"/>
      <x:c r="E28" s="8"/>
      <x:c r="F28" s="8"/>
      <x:c r="G28" s="8"/>
      <x:c r="H28" s="8"/>
      <x:c r="I28" s="8"/>
      <x:c r="J28" s="8"/>
      <x:c r="K28" s="8"/>
      <x:c r="L28" s="68"/>
      <x:c r="M28" s="8"/>
      <x:c r="N28" s="8"/>
      <x:c r="O28" s="8"/>
    </x:row>
    <x:row r="29">
      <x:c r="A29" s="8"/>
      <x:c r="B29" s="8"/>
      <x:c r="C29" s="8"/>
      <x:c r="D29" s="8"/>
      <x:c r="E29" s="8"/>
      <x:c r="F29" s="8"/>
      <x:c r="G29" s="8"/>
      <x:c r="H29" s="8"/>
      <x:c r="I29" s="8"/>
      <x:c r="J29" s="8"/>
      <x:c r="K29" s="8"/>
      <x:c r="L29" s="68"/>
      <x:c r="M29" s="8"/>
      <x:c r="N29" s="8"/>
      <x:c r="O29" s="8"/>
    </x:row>
    <x:row r="30">
      <x:c r="A30" s="8"/>
      <x:c r="B30" s="8"/>
      <x:c r="C30" s="8"/>
      <x:c r="D30" s="8"/>
      <x:c r="E30" s="8"/>
      <x:c r="F30" s="8"/>
      <x:c r="G30" s="8"/>
      <x:c r="H30" s="8"/>
      <x:c r="I30" s="8"/>
      <x:c r="J30" s="8"/>
      <x:c r="K30" s="8"/>
      <x:c r="L30" s="68"/>
      <x:c r="M30" s="8"/>
      <x:c r="N30" s="8"/>
      <x:c r="O30" s="8"/>
    </x:row>
    <x:row r="31">
      <x:c r="A31" s="8"/>
      <x:c r="B31" s="8"/>
      <x:c r="C31" s="8"/>
      <x:c r="D31" s="8"/>
      <x:c r="E31" s="8"/>
      <x:c r="F31" s="8"/>
      <x:c r="G31" s="8"/>
      <x:c r="H31" s="8"/>
      <x:c r="I31" s="8"/>
      <x:c r="J31" s="8"/>
      <x:c r="K31" s="8"/>
      <x:c r="L31" s="68"/>
      <x:c r="M31" s="8"/>
      <x:c r="N31" s="8"/>
      <x:c r="O31" s="8"/>
    </x:row>
    <x:row r="32">
      <x:c r="A32" s="8"/>
      <x:c r="B32" s="8"/>
      <x:c r="C32" s="8"/>
      <x:c r="D32" s="8"/>
      <x:c r="E32" s="8"/>
      <x:c r="F32" s="8"/>
      <x:c r="G32" s="8"/>
      <x:c r="H32" s="8"/>
      <x:c r="I32" s="8"/>
      <x:c r="J32" s="8"/>
      <x:c r="K32" s="8"/>
      <x:c r="L32" s="68"/>
      <x:c r="M32" s="8"/>
      <x:c r="N32" s="8"/>
      <x:c r="O32" s="8"/>
    </x:row>
    <x:row r="33">
      <x:c r="A33" s="8"/>
      <x:c r="B33" s="8"/>
      <x:c r="C33" s="8"/>
      <x:c r="D33" s="8"/>
      <x:c r="E33" s="8"/>
      <x:c r="F33" s="8"/>
      <x:c r="G33" s="8"/>
      <x:c r="H33" s="8"/>
      <x:c r="I33" s="8"/>
      <x:c r="J33" s="8"/>
      <x:c r="K33" s="8"/>
      <x:c r="L33" s="68"/>
      <x:c r="M33" s="8"/>
      <x:c r="N33" s="8"/>
      <x:c r="O33" s="8"/>
    </x:row>
    <x:row r="34">
      <x:c r="A34" s="8"/>
      <x:c r="B34" s="8"/>
      <x:c r="C34" s="8"/>
      <x:c r="D34" s="8"/>
      <x:c r="E34" s="8"/>
      <x:c r="F34" s="8"/>
      <x:c r="G34" s="8"/>
      <x:c r="H34" s="8"/>
      <x:c r="I34" s="8"/>
      <x:c r="J34" s="8"/>
      <x:c r="K34" s="8"/>
      <x:c r="L34" s="68"/>
      <x:c r="M34" s="8"/>
      <x:c r="N34" s="8"/>
      <x:c r="O34" s="8"/>
    </x:row>
    <x:row r="35">
      <x:c r="A35" s="8"/>
      <x:c r="B35" s="8"/>
      <x:c r="C35" s="8"/>
      <x:c r="D35" s="8"/>
      <x:c r="E35" s="8"/>
      <x:c r="F35" s="8"/>
      <x:c r="G35" s="8"/>
      <x:c r="H35" s="8"/>
      <x:c r="I35" s="8"/>
      <x:c r="J35" s="8"/>
      <x:c r="K35" s="8"/>
      <x:c r="L35" s="68"/>
      <x:c r="M35" s="8"/>
      <x:c r="N35" s="8"/>
      <x:c r="O35" s="8"/>
    </x:row>
    <x:row r="36">
      <x:c r="A36" s="8"/>
      <x:c r="B36" s="8"/>
      <x:c r="C36" s="8"/>
      <x:c r="D36" s="8"/>
      <x:c r="E36" s="8"/>
      <x:c r="F36" s="8"/>
      <x:c r="G36" s="8"/>
      <x:c r="H36" s="8"/>
      <x:c r="I36" s="8"/>
      <x:c r="J36" s="8"/>
      <x:c r="K36" s="8"/>
      <x:c r="L36" s="68"/>
      <x:c r="M36" s="8"/>
      <x:c r="N36" s="8"/>
      <x:c r="O36" s="8"/>
    </x:row>
    <x:row r="37">
      <x:c r="A37" s="8"/>
      <x:c r="B37" s="8"/>
      <x:c r="C37" s="8"/>
      <x:c r="D37" s="8"/>
      <x:c r="E37" s="8"/>
      <x:c r="F37" s="8"/>
      <x:c r="G37" s="8"/>
      <x:c r="H37" s="8"/>
      <x:c r="I37" s="8"/>
      <x:c r="J37" s="8"/>
      <x:c r="K37" s="8"/>
      <x:c r="L37" s="68"/>
      <x:c r="M37" s="8"/>
      <x:c r="N37" s="8"/>
      <x:c r="O37" s="8"/>
    </x:row>
    <x:row r="38">
      <x:c r="A38" s="8"/>
      <x:c r="B38" s="8"/>
      <x:c r="C38" s="8"/>
      <x:c r="D38" s="8"/>
      <x:c r="E38" s="8"/>
      <x:c r="F38" s="8"/>
      <x:c r="G38" s="8"/>
      <x:c r="H38" s="8"/>
      <x:c r="I38" s="8"/>
      <x:c r="J38" s="8"/>
      <x:c r="K38" s="8"/>
      <x:c r="L38" s="68"/>
      <x:c r="M38" s="8"/>
      <x:c r="N38" s="8"/>
      <x:c r="O38" s="8"/>
    </x:row>
    <x:row r="39">
      <x:c r="A39" s="8"/>
      <x:c r="B39" s="8"/>
      <x:c r="C39" s="8"/>
      <x:c r="D39" s="8"/>
      <x:c r="E39" s="8"/>
      <x:c r="F39" s="8"/>
      <x:c r="G39" s="8"/>
      <x:c r="H39" s="8"/>
      <x:c r="I39" s="8"/>
      <x:c r="J39" s="8"/>
      <x:c r="K39" s="8"/>
      <x:c r="L39" s="68"/>
      <x:c r="M39" s="8"/>
      <x:c r="N39" s="8"/>
      <x:c r="O39" s="8"/>
    </x:row>
    <x:row r="40">
      <x:c r="A40" s="8"/>
      <x:c r="B40" s="8"/>
      <x:c r="C40" s="8"/>
      <x:c r="D40" s="8"/>
      <x:c r="E40" s="8"/>
      <x:c r="F40" s="8"/>
      <x:c r="G40" s="8"/>
      <x:c r="H40" s="8"/>
      <x:c r="I40" s="8"/>
      <x:c r="J40" s="8"/>
      <x:c r="K40" s="8"/>
      <x:c r="L40" s="68"/>
      <x:c r="M40" s="8"/>
      <x:c r="N40" s="8"/>
      <x:c r="O40" s="8"/>
    </x:row>
    <x:row r="41">
      <x:c r="A41" s="8"/>
      <x:c r="B41" s="8"/>
      <x:c r="C41" s="8"/>
      <x:c r="D41" s="8"/>
      <x:c r="E41" s="8"/>
      <x:c r="F41" s="8"/>
      <x:c r="G41" s="8"/>
      <x:c r="H41" s="8"/>
      <x:c r="I41" s="8"/>
      <x:c r="J41" s="8"/>
      <x:c r="K41" s="8"/>
      <x:c r="L41" s="68"/>
      <x:c r="M41" s="8"/>
      <x:c r="N41" s="8"/>
      <x:c r="O41" s="8"/>
    </x:row>
    <x:row r="42">
      <x:c r="A42" s="8"/>
      <x:c r="B42" s="8"/>
      <x:c r="C42" s="8"/>
      <x:c r="D42" s="8"/>
      <x:c r="E42" s="8"/>
      <x:c r="F42" s="8"/>
      <x:c r="G42" s="8"/>
      <x:c r="H42" s="8"/>
      <x:c r="I42" s="8"/>
      <x:c r="J42" s="8"/>
      <x:c r="K42" s="8"/>
      <x:c r="L42" s="68"/>
      <x:c r="M42" s="8"/>
      <x:c r="N42" s="8"/>
      <x:c r="O42" s="8"/>
    </x:row>
    <x:row r="43">
      <x:c r="A43" s="8"/>
      <x:c r="B43" s="8"/>
      <x:c r="C43" s="8"/>
      <x:c r="D43" s="8"/>
      <x:c r="E43" s="8"/>
      <x:c r="F43" s="8"/>
      <x:c r="G43" s="8"/>
      <x:c r="H43" s="8"/>
      <x:c r="I43" s="8"/>
      <x:c r="J43" s="8"/>
      <x:c r="K43" s="8"/>
      <x:c r="L43" s="68"/>
      <x:c r="M43" s="8"/>
      <x:c r="N43" s="8"/>
      <x:c r="O43" s="8"/>
    </x:row>
    <x:row r="44">
      <x:c r="A44" s="8"/>
      <x:c r="B44" s="8"/>
      <x:c r="C44" s="8"/>
      <x:c r="D44" s="8"/>
      <x:c r="E44" s="8"/>
      <x:c r="F44" s="8"/>
      <x:c r="G44" s="8"/>
      <x:c r="H44" s="8"/>
      <x:c r="I44" s="8"/>
      <x:c r="J44" s="8"/>
      <x:c r="K44" s="8"/>
      <x:c r="L44" s="68"/>
      <x:c r="M44" s="8"/>
      <x:c r="N44" s="8"/>
      <x:c r="O44" s="8"/>
    </x:row>
    <x:row r="45">
      <x:c r="A45" s="8"/>
      <x:c r="B45" s="8"/>
      <x:c r="C45" s="8"/>
      <x:c r="D45" s="8"/>
      <x:c r="E45" s="8"/>
      <x:c r="F45" s="8"/>
      <x:c r="G45" s="8"/>
      <x:c r="H45" s="8"/>
      <x:c r="I45" s="8"/>
      <x:c r="J45" s="8"/>
      <x:c r="K45" s="8"/>
      <x:c r="L45" s="68"/>
      <x:c r="M45" s="8"/>
      <x:c r="N45" s="8"/>
      <x:c r="O45" s="8"/>
    </x:row>
    <x:row r="46">
      <x:c r="A46" s="8"/>
      <x:c r="B46" s="8"/>
      <x:c r="C46" s="8"/>
      <x:c r="D46" s="8"/>
      <x:c r="E46" s="8"/>
      <x:c r="F46" s="8"/>
      <x:c r="G46" s="8"/>
      <x:c r="H46" s="8"/>
      <x:c r="I46" s="8"/>
      <x:c r="J46" s="8"/>
      <x:c r="K46" s="8"/>
      <x:c r="L46" s="68"/>
      <x:c r="M46" s="8"/>
      <x:c r="N46" s="8"/>
      <x:c r="O46" s="8"/>
    </x:row>
    <x:row r="47">
      <x:c r="A47" s="8"/>
      <x:c r="B47" s="8"/>
      <x:c r="C47" s="8"/>
      <x:c r="D47" s="8"/>
      <x:c r="E47" s="8"/>
      <x:c r="F47" s="8"/>
      <x:c r="G47" s="8"/>
      <x:c r="H47" s="8"/>
      <x:c r="I47" s="8"/>
      <x:c r="J47" s="8"/>
      <x:c r="K47" s="8"/>
      <x:c r="L47" s="68"/>
      <x:c r="M47" s="8"/>
      <x:c r="N47" s="8"/>
      <x:c r="O47" s="8"/>
    </x:row>
    <x:row r="48">
      <x:c r="A48" s="8"/>
      <x:c r="B48" s="8"/>
      <x:c r="C48" s="8"/>
      <x:c r="D48" s="8"/>
      <x:c r="E48" s="8"/>
      <x:c r="F48" s="8"/>
      <x:c r="G48" s="8"/>
      <x:c r="H48" s="8"/>
      <x:c r="I48" s="8"/>
      <x:c r="J48" s="8"/>
      <x:c r="K48" s="8"/>
      <x:c r="L48" s="68"/>
      <x:c r="M48" s="8"/>
      <x:c r="N48" s="8"/>
      <x:c r="O48" s="8"/>
    </x:row>
    <x:row r="49">
      <x:c r="A49" s="8"/>
      <x:c r="B49" s="8"/>
      <x:c r="C49" s="8"/>
      <x:c r="D49" s="8"/>
      <x:c r="E49" s="8"/>
      <x:c r="F49" s="8"/>
      <x:c r="G49" s="8"/>
      <x:c r="H49" s="8"/>
      <x:c r="I49" s="8"/>
      <x:c r="J49" s="8"/>
      <x:c r="K49" s="8"/>
      <x:c r="L49" s="68"/>
      <x:c r="M49" s="8"/>
      <x:c r="N49" s="8"/>
      <x:c r="O49" s="8"/>
    </x:row>
    <x:row r="50">
      <x:c r="A50" s="8"/>
      <x:c r="B50" s="8"/>
      <x:c r="C50" s="8"/>
      <x:c r="D50" s="8"/>
      <x:c r="E50" s="8"/>
      <x:c r="F50" s="8"/>
      <x:c r="G50" s="8"/>
      <x:c r="H50" s="8"/>
      <x:c r="I50" s="8"/>
      <x:c r="J50" s="8"/>
      <x:c r="K50" s="8"/>
      <x:c r="L50" s="68"/>
      <x:c r="M50" s="8"/>
      <x:c r="N50" s="8"/>
      <x:c r="O50" s="8"/>
    </x:row>
    <x:row r="51">
      <x:c r="A51" s="8"/>
      <x:c r="B51" s="8"/>
      <x:c r="C51" s="8"/>
      <x:c r="D51" s="8"/>
      <x:c r="E51" s="8"/>
      <x:c r="F51" s="8"/>
      <x:c r="G51" s="8"/>
      <x:c r="H51" s="8"/>
      <x:c r="I51" s="8"/>
      <x:c r="J51" s="8"/>
      <x:c r="K51" s="8"/>
      <x:c r="L51" s="68"/>
      <x:c r="M51" s="8"/>
      <x:c r="N51" s="8"/>
      <x:c r="O51" s="8"/>
    </x:row>
    <x:row r="52">
      <x:c r="A52" s="8"/>
      <x:c r="B52" s="8"/>
      <x:c r="C52" s="8"/>
      <x:c r="D52" s="8"/>
      <x:c r="E52" s="8"/>
      <x:c r="F52" s="8"/>
      <x:c r="G52" s="8"/>
      <x:c r="H52" s="8"/>
      <x:c r="I52" s="8"/>
      <x:c r="J52" s="8"/>
      <x:c r="K52" s="8"/>
      <x:c r="L52" s="68"/>
      <x:c r="M52" s="8"/>
      <x:c r="N52" s="8"/>
      <x:c r="O52" s="8"/>
    </x:row>
    <x:row r="53">
      <x:c r="A53" s="8"/>
      <x:c r="B53" s="8"/>
      <x:c r="C53" s="8"/>
      <x:c r="D53" s="8"/>
      <x:c r="E53" s="8"/>
      <x:c r="F53" s="8"/>
      <x:c r="G53" s="8"/>
      <x:c r="H53" s="8"/>
      <x:c r="I53" s="8"/>
      <x:c r="J53" s="8"/>
      <x:c r="K53" s="8"/>
      <x:c r="L53" s="68"/>
      <x:c r="M53" s="8"/>
      <x:c r="N53" s="8"/>
      <x:c r="O53" s="8"/>
    </x:row>
    <x:row r="54">
      <x:c r="A54" s="8"/>
      <x:c r="B54" s="8"/>
      <x:c r="C54" s="8"/>
      <x:c r="D54" s="8"/>
      <x:c r="E54" s="8"/>
      <x:c r="F54" s="8"/>
      <x:c r="G54" s="8"/>
      <x:c r="H54" s="8"/>
      <x:c r="I54" s="8"/>
      <x:c r="J54" s="8"/>
      <x:c r="K54" s="8"/>
      <x:c r="L54" s="68"/>
      <x:c r="M54" s="8"/>
      <x:c r="N54" s="8"/>
      <x:c r="O54" s="8"/>
    </x:row>
    <x:row r="55">
      <x:c r="A55" s="8"/>
      <x:c r="B55" s="8"/>
      <x:c r="C55" s="8"/>
      <x:c r="D55" s="8"/>
      <x:c r="E55" s="8"/>
      <x:c r="F55" s="8"/>
      <x:c r="G55" s="8"/>
      <x:c r="H55" s="8"/>
      <x:c r="I55" s="8"/>
      <x:c r="J55" s="8"/>
      <x:c r="K55" s="8"/>
      <x:c r="L55" s="68"/>
      <x:c r="M55" s="8"/>
      <x:c r="N55" s="8"/>
      <x:c r="O55" s="8"/>
    </x:row>
    <x:row r="56">
      <x:c r="A56" s="8"/>
      <x:c r="B56" s="8"/>
      <x:c r="C56" s="8"/>
      <x:c r="D56" s="8"/>
      <x:c r="E56" s="8"/>
      <x:c r="F56" s="8"/>
      <x:c r="G56" s="8"/>
      <x:c r="H56" s="8"/>
      <x:c r="I56" s="8"/>
      <x:c r="J56" s="8"/>
      <x:c r="K56" s="8"/>
      <x:c r="L56" s="68"/>
      <x:c r="M56" s="8"/>
      <x:c r="N56" s="8"/>
      <x:c r="O56" s="8"/>
    </x:row>
    <x:row r="57">
      <x:c r="A57" s="8"/>
      <x:c r="B57" s="8"/>
      <x:c r="C57" s="8"/>
      <x:c r="D57" s="8"/>
      <x:c r="E57" s="8"/>
      <x:c r="F57" s="8"/>
      <x:c r="G57" s="8"/>
      <x:c r="H57" s="8"/>
      <x:c r="I57" s="8"/>
      <x:c r="J57" s="8"/>
      <x:c r="K57" s="8"/>
      <x:c r="L57" s="68"/>
      <x:c r="M57" s="8"/>
      <x:c r="N57" s="8"/>
      <x:c r="O57" s="8"/>
    </x:row>
    <x:row r="58">
      <x:c r="A58" s="8"/>
      <x:c r="B58" s="8"/>
      <x:c r="C58" s="8"/>
      <x:c r="D58" s="8"/>
      <x:c r="E58" s="8"/>
      <x:c r="F58" s="8"/>
      <x:c r="G58" s="8"/>
      <x:c r="H58" s="8"/>
      <x:c r="I58" s="8"/>
      <x:c r="J58" s="8"/>
      <x:c r="K58" s="8"/>
      <x:c r="L58" s="68"/>
      <x:c r="M58" s="8"/>
      <x:c r="N58" s="8"/>
      <x:c r="O58" s="8"/>
    </x:row>
    <x:row r="59">
      <x:c r="A59" s="8"/>
      <x:c r="B59" s="8"/>
      <x:c r="C59" s="8"/>
      <x:c r="D59" s="8"/>
      <x:c r="E59" s="8"/>
      <x:c r="F59" s="8"/>
      <x:c r="G59" s="8"/>
      <x:c r="H59" s="8"/>
      <x:c r="I59" s="8"/>
      <x:c r="J59" s="8"/>
      <x:c r="K59" s="8"/>
      <x:c r="L59" s="68"/>
      <x:c r="M59" s="8"/>
      <x:c r="N59" s="8"/>
      <x:c r="O59" s="8"/>
    </x:row>
    <x:row r="60">
      <x:c r="A60" s="8"/>
      <x:c r="B60" s="8"/>
      <x:c r="C60" s="8"/>
      <x:c r="D60" s="8"/>
      <x:c r="E60" s="8"/>
      <x:c r="F60" s="8"/>
      <x:c r="G60" s="8"/>
      <x:c r="H60" s="8"/>
      <x:c r="I60" s="8"/>
      <x:c r="J60" s="8"/>
      <x:c r="K60" s="8"/>
      <x:c r="L60" s="68"/>
      <x:c r="M60" s="8"/>
      <x:c r="N60" s="8"/>
      <x:c r="O60" s="8"/>
    </x:row>
    <x:row r="61">
      <x:c r="A61" s="8"/>
      <x:c r="B61" s="8"/>
      <x:c r="C61" s="8"/>
      <x:c r="D61" s="8"/>
      <x:c r="E61" s="8"/>
      <x:c r="F61" s="8"/>
      <x:c r="G61" s="8"/>
      <x:c r="H61" s="8"/>
      <x:c r="I61" s="8"/>
      <x:c r="J61" s="8"/>
      <x:c r="K61" s="8"/>
      <x:c r="L61" s="68"/>
      <x:c r="M61" s="8"/>
      <x:c r="N61" s="8"/>
      <x:c r="O61" s="8"/>
    </x:row>
    <x:row r="62">
      <x:c r="A62" s="8"/>
      <x:c r="B62" s="8"/>
      <x:c r="C62" s="8"/>
      <x:c r="D62" s="8"/>
      <x:c r="E62" s="8"/>
      <x:c r="F62" s="8"/>
      <x:c r="G62" s="8"/>
      <x:c r="H62" s="8"/>
      <x:c r="I62" s="8"/>
      <x:c r="J62" s="8"/>
      <x:c r="K62" s="8"/>
      <x:c r="L62" s="68"/>
      <x:c r="M62" s="8"/>
      <x:c r="N62" s="8"/>
      <x:c r="O62" s="8"/>
    </x:row>
    <x:row r="63">
      <x:c r="A63" s="8"/>
      <x:c r="B63" s="8"/>
      <x:c r="C63" s="8"/>
      <x:c r="D63" s="8"/>
      <x:c r="E63" s="8"/>
      <x:c r="F63" s="8"/>
      <x:c r="G63" s="8"/>
      <x:c r="H63" s="8"/>
      <x:c r="I63" s="8"/>
      <x:c r="J63" s="8"/>
      <x:c r="K63" s="8"/>
      <x:c r="L63" s="68"/>
      <x:c r="M63" s="8"/>
      <x:c r="N63" s="8"/>
      <x:c r="O63" s="8"/>
    </x:row>
    <x:row r="64">
      <x:c r="A64" s="8"/>
      <x:c r="B64" s="8"/>
      <x:c r="C64" s="8"/>
      <x:c r="D64" s="8"/>
      <x:c r="E64" s="8"/>
      <x:c r="F64" s="8"/>
      <x:c r="G64" s="8"/>
      <x:c r="H64" s="8"/>
      <x:c r="I64" s="8"/>
      <x:c r="J64" s="8"/>
      <x:c r="K64" s="8"/>
      <x:c r="L64" s="68"/>
      <x:c r="M64" s="8"/>
      <x:c r="N64" s="8"/>
      <x:c r="O64" s="8"/>
    </x:row>
    <x:row r="65">
      <x:c r="A65" s="8"/>
      <x:c r="B65" s="8"/>
      <x:c r="C65" s="8"/>
      <x:c r="D65" s="8"/>
      <x:c r="E65" s="8"/>
      <x:c r="F65" s="8"/>
      <x:c r="G65" s="8"/>
      <x:c r="H65" s="8"/>
      <x:c r="I65" s="8"/>
      <x:c r="J65" s="8"/>
      <x:c r="K65" s="8"/>
      <x:c r="L65" s="68"/>
      <x:c r="M65" s="8"/>
      <x:c r="N65" s="8"/>
      <x:c r="O65" s="8"/>
    </x:row>
    <x:row r="66">
      <x:c r="A66" s="8"/>
      <x:c r="B66" s="8"/>
      <x:c r="C66" s="8"/>
      <x:c r="D66" s="8"/>
      <x:c r="E66" s="8"/>
      <x:c r="F66" s="8"/>
      <x:c r="G66" s="8"/>
      <x:c r="H66" s="8"/>
      <x:c r="I66" s="8"/>
      <x:c r="J66" s="8"/>
      <x:c r="K66" s="8"/>
      <x:c r="L66" s="68"/>
      <x:c r="M66" s="8"/>
      <x:c r="N66" s="8"/>
      <x:c r="O66" s="8"/>
    </x:row>
    <x:row r="67">
      <x:c r="A67" s="8"/>
      <x:c r="B67" s="8"/>
      <x:c r="C67" s="8"/>
      <x:c r="D67" s="8"/>
      <x:c r="E67" s="8"/>
      <x:c r="F67" s="8"/>
      <x:c r="G67" s="8"/>
      <x:c r="H67" s="8"/>
      <x:c r="I67" s="8"/>
      <x:c r="J67" s="8"/>
      <x:c r="K67" s="8"/>
      <x:c r="L67" s="68"/>
      <x:c r="M67" s="8"/>
      <x:c r="N67" s="8"/>
      <x:c r="O67" s="8"/>
    </x:row>
    <x:row r="68">
      <x:c r="A68" s="8"/>
      <x:c r="B68" s="8"/>
      <x:c r="C68" s="8"/>
      <x:c r="D68" s="8"/>
      <x:c r="E68" s="8"/>
      <x:c r="F68" s="8"/>
      <x:c r="G68" s="8"/>
      <x:c r="H68" s="8"/>
      <x:c r="I68" s="8"/>
      <x:c r="J68" s="8"/>
      <x:c r="K68" s="8"/>
      <x:c r="L68" s="68"/>
      <x:c r="M68" s="8"/>
      <x:c r="N68" s="8"/>
      <x:c r="O68" s="8"/>
    </x:row>
    <x:row r="69">
      <x:c r="A69" s="8"/>
      <x:c r="B69" s="8"/>
      <x:c r="C69" s="8"/>
      <x:c r="D69" s="8"/>
      <x:c r="E69" s="8"/>
      <x:c r="F69" s="8"/>
      <x:c r="G69" s="8"/>
      <x:c r="H69" s="8"/>
      <x:c r="I69" s="8"/>
      <x:c r="J69" s="8"/>
      <x:c r="K69" s="8"/>
      <x:c r="L69" s="68"/>
      <x:c r="M69" s="8"/>
      <x:c r="N69" s="8"/>
      <x:c r="O69" s="8"/>
    </x:row>
    <x:row r="70">
      <x:c r="A70" s="8"/>
      <x:c r="B70" s="8"/>
      <x:c r="C70" s="8"/>
      <x:c r="D70" s="8"/>
      <x:c r="E70" s="8"/>
      <x:c r="F70" s="8"/>
      <x:c r="G70" s="8"/>
      <x:c r="H70" s="8"/>
      <x:c r="I70" s="8"/>
      <x:c r="J70" s="8"/>
      <x:c r="K70" s="8"/>
      <x:c r="L70" s="68"/>
      <x:c r="M70" s="8"/>
      <x:c r="N70" s="8"/>
      <x:c r="O70" s="8"/>
    </x:row>
    <x:row r="71">
      <x:c r="A71" s="8"/>
      <x:c r="B71" s="8"/>
      <x:c r="C71" s="8"/>
      <x:c r="D71" s="8"/>
      <x:c r="E71" s="8"/>
      <x:c r="F71" s="8"/>
      <x:c r="G71" s="8"/>
      <x:c r="H71" s="8"/>
      <x:c r="I71" s="8"/>
      <x:c r="J71" s="8"/>
      <x:c r="K71" s="8"/>
      <x:c r="L71" s="68"/>
      <x:c r="M71" s="8"/>
      <x:c r="N71" s="8"/>
      <x:c r="O71" s="8"/>
    </x:row>
    <x:row r="72">
      <x:c r="A72" s="8"/>
      <x:c r="B72" s="8"/>
      <x:c r="C72" s="8"/>
      <x:c r="D72" s="8"/>
      <x:c r="E72" s="8"/>
      <x:c r="F72" s="8"/>
      <x:c r="G72" s="8"/>
      <x:c r="H72" s="8"/>
      <x:c r="I72" s="8"/>
      <x:c r="J72" s="8"/>
      <x:c r="K72" s="8"/>
      <x:c r="L72" s="68"/>
      <x:c r="M72" s="8"/>
      <x:c r="N72" s="8"/>
      <x:c r="O72" s="8"/>
    </x:row>
    <x:row r="73">
      <x:c r="A73" s="8"/>
      <x:c r="B73" s="8"/>
      <x:c r="C73" s="8"/>
      <x:c r="D73" s="8"/>
      <x:c r="E73" s="8"/>
      <x:c r="F73" s="8"/>
      <x:c r="G73" s="8"/>
      <x:c r="H73" s="8"/>
      <x:c r="I73" s="8"/>
      <x:c r="J73" s="8"/>
      <x:c r="K73" s="8"/>
      <x:c r="L73" s="68"/>
      <x:c r="M73" s="8"/>
      <x:c r="N73" s="8"/>
      <x:c r="O73" s="8"/>
    </x:row>
    <x:row r="74">
      <x:c r="A74" s="8"/>
      <x:c r="B74" s="8"/>
      <x:c r="C74" s="8"/>
      <x:c r="D74" s="8"/>
      <x:c r="E74" s="8"/>
      <x:c r="F74" s="8"/>
      <x:c r="G74" s="8"/>
      <x:c r="H74" s="8"/>
      <x:c r="I74" s="8"/>
      <x:c r="J74" s="8"/>
      <x:c r="K74" s="8"/>
      <x:c r="L74" s="68"/>
      <x:c r="M74" s="8"/>
      <x:c r="N74" s="8"/>
      <x:c r="O74" s="8"/>
    </x:row>
    <x:row r="75">
      <x:c r="A75" s="8"/>
      <x:c r="B75" s="8"/>
      <x:c r="C75" s="8"/>
      <x:c r="D75" s="8"/>
      <x:c r="E75" s="8"/>
      <x:c r="F75" s="8"/>
      <x:c r="G75" s="8"/>
      <x:c r="H75" s="8"/>
      <x:c r="I75" s="8"/>
      <x:c r="J75" s="8"/>
      <x:c r="K75" s="8"/>
      <x:c r="L75" s="68"/>
      <x:c r="M75" s="8"/>
      <x:c r="N75" s="8"/>
      <x:c r="O75" s="8"/>
    </x:row>
    <x:row r="76">
      <x:c r="A76" s="8"/>
      <x:c r="B76" s="8"/>
      <x:c r="C76" s="8"/>
      <x:c r="D76" s="8"/>
      <x:c r="E76" s="8"/>
      <x:c r="F76" s="8"/>
      <x:c r="G76" s="8"/>
      <x:c r="H76" s="8"/>
      <x:c r="I76" s="8"/>
      <x:c r="J76" s="8"/>
      <x:c r="K76" s="8"/>
      <x:c r="L76" s="68"/>
      <x:c r="M76" s="8"/>
      <x:c r="N76" s="8"/>
      <x:c r="O76" s="8"/>
    </x:row>
    <x:row r="77">
      <x:c r="A77" s="8"/>
      <x:c r="B77" s="8"/>
      <x:c r="C77" s="8"/>
      <x:c r="D77" s="8"/>
      <x:c r="E77" s="8"/>
      <x:c r="F77" s="8"/>
      <x:c r="G77" s="8"/>
      <x:c r="H77" s="8"/>
      <x:c r="I77" s="8"/>
      <x:c r="J77" s="8"/>
      <x:c r="K77" s="8"/>
      <x:c r="L77" s="68"/>
      <x:c r="M77" s="8"/>
      <x:c r="N77" s="8"/>
      <x:c r="O77" s="8"/>
    </x:row>
    <x:row r="78">
      <x:c r="A78" s="8"/>
      <x:c r="B78" s="8"/>
      <x:c r="C78" s="8"/>
      <x:c r="D78" s="8"/>
      <x:c r="E78" s="8"/>
      <x:c r="F78" s="8"/>
      <x:c r="G78" s="8"/>
      <x:c r="H78" s="8"/>
      <x:c r="I78" s="8"/>
      <x:c r="J78" s="8"/>
      <x:c r="K78" s="8"/>
      <x:c r="L78" s="68"/>
      <x:c r="M78" s="8"/>
      <x:c r="N78" s="8"/>
      <x:c r="O78" s="8"/>
    </x:row>
    <x:row r="79">
      <x:c r="A79" s="8"/>
      <x:c r="B79" s="8"/>
      <x:c r="C79" s="8"/>
      <x:c r="D79" s="8"/>
      <x:c r="E79" s="8"/>
      <x:c r="F79" s="8"/>
      <x:c r="G79" s="8"/>
      <x:c r="H79" s="8"/>
      <x:c r="I79" s="8"/>
      <x:c r="J79" s="8"/>
      <x:c r="K79" s="8"/>
      <x:c r="L79" s="68"/>
      <x:c r="M79" s="8"/>
      <x:c r="N79" s="8"/>
      <x:c r="O79" s="8"/>
    </x:row>
    <x:row r="80">
      <x:c r="A80" s="8"/>
      <x:c r="B80" s="8"/>
      <x:c r="C80" s="8"/>
      <x:c r="D80" s="8"/>
      <x:c r="E80" s="8"/>
      <x:c r="F80" s="8"/>
      <x:c r="G80" s="8"/>
      <x:c r="H80" s="8"/>
      <x:c r="I80" s="8"/>
      <x:c r="J80" s="8"/>
      <x:c r="K80" s="8"/>
      <x:c r="L80" s="68"/>
      <x:c r="M80" s="8"/>
      <x:c r="N80" s="8"/>
      <x:c r="O80" s="8"/>
    </x:row>
    <x:row r="81">
      <x:c r="A81" s="8"/>
      <x:c r="B81" s="8"/>
      <x:c r="C81" s="8"/>
      <x:c r="D81" s="8"/>
      <x:c r="E81" s="8"/>
      <x:c r="F81" s="8"/>
      <x:c r="G81" s="8"/>
      <x:c r="H81" s="8"/>
      <x:c r="I81" s="8"/>
      <x:c r="J81" s="8"/>
      <x:c r="K81" s="8"/>
      <x:c r="L81" s="68"/>
      <x:c r="M81" s="8"/>
      <x:c r="N81" s="8"/>
      <x:c r="O81" s="8"/>
    </x:row>
    <x:row r="82">
      <x:c r="A82" s="8"/>
      <x:c r="B82" s="8"/>
      <x:c r="C82" s="8"/>
      <x:c r="D82" s="8"/>
      <x:c r="E82" s="8"/>
      <x:c r="F82" s="8"/>
      <x:c r="G82" s="8"/>
      <x:c r="H82" s="8"/>
      <x:c r="I82" s="8"/>
      <x:c r="J82" s="8"/>
      <x:c r="K82" s="8"/>
      <x:c r="L82" s="68"/>
      <x:c r="M82" s="8"/>
      <x:c r="N82" s="8"/>
      <x:c r="O82" s="8"/>
    </x:row>
    <x:row r="83">
      <x:c r="A83" s="8"/>
      <x:c r="B83" s="8"/>
      <x:c r="C83" s="8"/>
      <x:c r="D83" s="8"/>
      <x:c r="E83" s="8"/>
      <x:c r="F83" s="8"/>
      <x:c r="G83" s="8"/>
      <x:c r="H83" s="8"/>
      <x:c r="I83" s="8"/>
      <x:c r="J83" s="8"/>
      <x:c r="K83" s="8"/>
      <x:c r="L83" s="68"/>
      <x:c r="M83" s="8"/>
      <x:c r="N83" s="8"/>
      <x:c r="O83" s="8"/>
    </x:row>
    <x:row r="84">
      <x:c r="A84" s="8"/>
      <x:c r="B84" s="8"/>
      <x:c r="C84" s="8"/>
      <x:c r="D84" s="8"/>
      <x:c r="E84" s="8"/>
      <x:c r="F84" s="8"/>
      <x:c r="G84" s="8"/>
      <x:c r="H84" s="8"/>
      <x:c r="I84" s="8"/>
      <x:c r="J84" s="8"/>
      <x:c r="K84" s="8"/>
      <x:c r="L84" s="68"/>
      <x:c r="M84" s="8"/>
      <x:c r="N84" s="8"/>
      <x:c r="O84" s="8"/>
    </x:row>
    <x:row r="85">
      <x:c r="A85" s="8"/>
      <x:c r="B85" s="8"/>
      <x:c r="C85" s="8"/>
      <x:c r="D85" s="8"/>
      <x:c r="E85" s="8"/>
      <x:c r="F85" s="8"/>
      <x:c r="G85" s="8"/>
      <x:c r="H85" s="8"/>
      <x:c r="I85" s="8"/>
      <x:c r="J85" s="8"/>
      <x:c r="K85" s="8"/>
      <x:c r="L85" s="68"/>
      <x:c r="M85" s="8"/>
      <x:c r="N85" s="8"/>
      <x:c r="O85" s="8"/>
    </x:row>
    <x:row r="86">
      <x:c r="A86" s="8"/>
      <x:c r="B86" s="8"/>
      <x:c r="C86" s="8"/>
      <x:c r="D86" s="8"/>
      <x:c r="E86" s="8"/>
      <x:c r="F86" s="8"/>
      <x:c r="G86" s="8"/>
      <x:c r="H86" s="8"/>
      <x:c r="I86" s="8"/>
      <x:c r="J86" s="8"/>
      <x:c r="K86" s="8"/>
      <x:c r="L86" s="68"/>
      <x:c r="M86" s="8"/>
      <x:c r="N86" s="8"/>
      <x:c r="O86" s="8"/>
    </x:row>
    <x:row r="87">
      <x:c r="A87" s="8"/>
      <x:c r="B87" s="8"/>
      <x:c r="C87" s="8"/>
      <x:c r="D87" s="8"/>
      <x:c r="E87" s="8"/>
      <x:c r="F87" s="8"/>
      <x:c r="G87" s="8"/>
      <x:c r="H87" s="8"/>
      <x:c r="I87" s="8"/>
      <x:c r="J87" s="8"/>
      <x:c r="K87" s="8"/>
      <x:c r="L87" s="68"/>
      <x:c r="M87" s="8"/>
      <x:c r="N87" s="8"/>
      <x:c r="O87" s="8"/>
    </x:row>
    <x:row r="88">
      <x:c r="A88" s="8"/>
      <x:c r="B88" s="8"/>
      <x:c r="C88" s="8"/>
      <x:c r="D88" s="8"/>
      <x:c r="E88" s="8"/>
      <x:c r="F88" s="8"/>
      <x:c r="G88" s="8"/>
      <x:c r="H88" s="8"/>
      <x:c r="I88" s="8"/>
      <x:c r="J88" s="8"/>
      <x:c r="K88" s="8"/>
      <x:c r="L88" s="68"/>
      <x:c r="M88" s="8"/>
      <x:c r="N88" s="8"/>
      <x:c r="O88" s="8"/>
    </x:row>
    <x:row r="89">
      <x:c r="A89" s="8"/>
      <x:c r="B89" s="8"/>
      <x:c r="C89" s="8"/>
      <x:c r="D89" s="8"/>
      <x:c r="E89" s="8"/>
      <x:c r="F89" s="8"/>
      <x:c r="G89" s="8"/>
      <x:c r="H89" s="8"/>
      <x:c r="I89" s="8"/>
      <x:c r="J89" s="8"/>
      <x:c r="K89" s="8"/>
      <x:c r="L89" s="68"/>
      <x:c r="M89" s="8"/>
      <x:c r="N89" s="8"/>
      <x:c r="O89" s="8"/>
    </x:row>
    <x:row r="90">
      <x:c r="A90" s="8"/>
      <x:c r="B90" s="8"/>
      <x:c r="C90" s="8"/>
      <x:c r="D90" s="8"/>
      <x:c r="E90" s="8"/>
      <x:c r="F90" s="8"/>
      <x:c r="G90" s="8"/>
      <x:c r="H90" s="8"/>
      <x:c r="I90" s="8"/>
      <x:c r="J90" s="8"/>
      <x:c r="K90" s="8"/>
      <x:c r="L90" s="68"/>
      <x:c r="M90" s="8"/>
      <x:c r="N90" s="8"/>
      <x:c r="O90" s="8"/>
    </x:row>
    <x:row r="91">
      <x:c r="A91" s="8"/>
      <x:c r="B91" s="8"/>
      <x:c r="C91" s="8"/>
      <x:c r="D91" s="8"/>
      <x:c r="E91" s="8"/>
      <x:c r="F91" s="8"/>
      <x:c r="G91" s="8"/>
      <x:c r="H91" s="8"/>
      <x:c r="I91" s="8"/>
      <x:c r="J91" s="8"/>
      <x:c r="K91" s="8"/>
      <x:c r="L91" s="68"/>
      <x:c r="M91" s="8"/>
      <x:c r="N91" s="8"/>
      <x:c r="O91" s="8"/>
    </x:row>
    <x:row r="92">
      <x:c r="A92" s="8"/>
      <x:c r="B92" s="8"/>
      <x:c r="C92" s="8"/>
      <x:c r="D92" s="8"/>
      <x:c r="E92" s="8"/>
      <x:c r="F92" s="8"/>
      <x:c r="G92" s="8"/>
      <x:c r="H92" s="8"/>
      <x:c r="I92" s="8"/>
      <x:c r="J92" s="8"/>
      <x:c r="K92" s="8"/>
      <x:c r="L92" s="68"/>
      <x:c r="M92" s="8"/>
      <x:c r="N92" s="8"/>
      <x:c r="O92" s="8"/>
    </x:row>
    <x:row r="93">
      <x:c r="A93" s="8"/>
      <x:c r="B93" s="8"/>
      <x:c r="C93" s="8"/>
      <x:c r="D93" s="8"/>
      <x:c r="E93" s="8"/>
      <x:c r="F93" s="8"/>
      <x:c r="G93" s="8"/>
      <x:c r="H93" s="8"/>
      <x:c r="I93" s="8"/>
      <x:c r="J93" s="8"/>
      <x:c r="K93" s="8"/>
      <x:c r="L93" s="68"/>
      <x:c r="M93" s="8"/>
      <x:c r="N93" s="8"/>
      <x:c r="O93" s="8"/>
    </x:row>
    <x:row r="94">
      <x:c r="A94" s="8"/>
      <x:c r="B94" s="8"/>
      <x:c r="C94" s="8"/>
      <x:c r="D94" s="8"/>
      <x:c r="E94" s="8"/>
      <x:c r="F94" s="8"/>
      <x:c r="G94" s="8"/>
      <x:c r="H94" s="8"/>
      <x:c r="I94" s="8"/>
      <x:c r="J94" s="8"/>
      <x:c r="K94" s="8"/>
      <x:c r="L94" s="68"/>
      <x:c r="M94" s="8"/>
      <x:c r="N94" s="8"/>
      <x:c r="O94" s="8"/>
    </x:row>
    <x:row r="95">
      <x:c r="A95" s="8"/>
      <x:c r="B95" s="8"/>
      <x:c r="C95" s="8"/>
      <x:c r="D95" s="8"/>
      <x:c r="E95" s="8"/>
      <x:c r="F95" s="8"/>
      <x:c r="G95" s="8"/>
      <x:c r="H95" s="8"/>
      <x:c r="I95" s="8"/>
      <x:c r="J95" s="8"/>
      <x:c r="K95" s="8"/>
      <x:c r="L95" s="68"/>
      <x:c r="M95" s="8"/>
      <x:c r="N95" s="8"/>
      <x:c r="O95" s="8"/>
    </x:row>
    <x:row r="96">
      <x:c r="A96" s="8"/>
      <x:c r="B96" s="8"/>
      <x:c r="C96" s="8"/>
      <x:c r="D96" s="8"/>
      <x:c r="E96" s="8"/>
      <x:c r="F96" s="8"/>
      <x:c r="G96" s="8"/>
      <x:c r="H96" s="8"/>
      <x:c r="I96" s="8"/>
      <x:c r="J96" s="8"/>
      <x:c r="K96" s="8"/>
      <x:c r="L96" s="68"/>
      <x:c r="M96" s="8"/>
      <x:c r="N96" s="8"/>
      <x:c r="O96" s="8"/>
    </x:row>
    <x:row r="97">
      <x:c r="A97" s="8"/>
      <x:c r="B97" s="8"/>
      <x:c r="C97" s="8"/>
      <x:c r="D97" s="8"/>
      <x:c r="E97" s="8"/>
      <x:c r="F97" s="8"/>
      <x:c r="G97" s="8"/>
      <x:c r="H97" s="8"/>
      <x:c r="I97" s="8"/>
      <x:c r="J97" s="8"/>
      <x:c r="K97" s="8"/>
      <x:c r="L97" s="68"/>
      <x:c r="M97" s="8"/>
      <x:c r="N97" s="8"/>
      <x:c r="O97" s="8"/>
    </x:row>
    <x:row r="98">
      <x:c r="A98" s="8"/>
      <x:c r="B98" s="8"/>
      <x:c r="C98" s="8"/>
      <x:c r="D98" s="8"/>
      <x:c r="E98" s="8"/>
      <x:c r="F98" s="8"/>
      <x:c r="G98" s="8"/>
      <x:c r="H98" s="8"/>
      <x:c r="I98" s="8"/>
      <x:c r="J98" s="8"/>
      <x:c r="K98" s="8"/>
      <x:c r="L98" s="68"/>
      <x:c r="M98" s="8"/>
      <x:c r="N98" s="8"/>
      <x:c r="O98" s="8"/>
    </x:row>
    <x:row r="99">
      <x:c r="A99" s="8"/>
      <x:c r="B99" s="8"/>
      <x:c r="C99" s="8"/>
      <x:c r="D99" s="8"/>
      <x:c r="E99" s="8"/>
      <x:c r="F99" s="8"/>
      <x:c r="G99" s="8"/>
      <x:c r="H99" s="8"/>
      <x:c r="I99" s="8"/>
      <x:c r="J99" s="8"/>
      <x:c r="K99" s="8"/>
      <x:c r="L99" s="68"/>
      <x:c r="M99" s="8"/>
      <x:c r="N99" s="8"/>
      <x:c r="O99" s="8"/>
    </x:row>
    <x:row r="100">
      <x:c r="A100" s="8"/>
      <x:c r="B100" s="8"/>
      <x:c r="C100" s="8"/>
      <x:c r="D100" s="8"/>
      <x:c r="E100" s="8"/>
      <x:c r="F100" s="8"/>
      <x:c r="G100" s="8"/>
      <x:c r="H100" s="8"/>
      <x:c r="I100" s="8"/>
      <x:c r="J100" s="8"/>
      <x:c r="K100" s="8"/>
      <x:c r="L100" s="68"/>
      <x:c r="M100" s="8"/>
      <x:c r="N100" s="8"/>
      <x:c r="O100" s="8"/>
    </x:row>
    <x:row r="101">
      <x:c r="A101" s="8"/>
      <x:c r="B101" s="8"/>
      <x:c r="C101" s="8"/>
      <x:c r="D101" s="8"/>
      <x:c r="E101" s="8"/>
      <x:c r="F101" s="8"/>
      <x:c r="G101" s="8"/>
      <x:c r="H101" s="8"/>
      <x:c r="I101" s="8"/>
      <x:c r="J101" s="8"/>
      <x:c r="K101" s="8"/>
      <x:c r="L101" s="68"/>
      <x:c r="M101" s="8"/>
      <x:c r="N101" s="8"/>
      <x:c r="O101" s="8"/>
    </x:row>
    <x:row r="102">
      <x:c r="A102" s="8"/>
      <x:c r="B102" s="8"/>
      <x:c r="C102" s="8"/>
      <x:c r="D102" s="8"/>
      <x:c r="E102" s="8"/>
      <x:c r="F102" s="8"/>
      <x:c r="G102" s="8"/>
      <x:c r="H102" s="8"/>
      <x:c r="I102" s="8"/>
      <x:c r="J102" s="8"/>
      <x:c r="K102" s="8"/>
      <x:c r="L102" s="68"/>
      <x:c r="M102" s="8"/>
      <x:c r="N102" s="8"/>
      <x:c r="O102" s="8"/>
    </x:row>
    <x:row r="103">
      <x:c r="A103" s="8"/>
      <x:c r="B103" s="8"/>
      <x:c r="C103" s="8"/>
      <x:c r="D103" s="8"/>
      <x:c r="E103" s="8"/>
      <x:c r="F103" s="8"/>
      <x:c r="G103" s="8"/>
      <x:c r="H103" s="8"/>
      <x:c r="I103" s="8"/>
      <x:c r="J103" s="8"/>
      <x:c r="K103" s="8"/>
      <x:c r="L103" s="68"/>
      <x:c r="M103" s="8"/>
      <x:c r="N103" s="8"/>
      <x:c r="O103" s="8"/>
    </x:row>
    <x:row r="104">
      <x:c r="A104" s="8"/>
      <x:c r="B104" s="8"/>
      <x:c r="C104" s="8"/>
      <x:c r="D104" s="8"/>
      <x:c r="E104" s="8"/>
      <x:c r="F104" s="8"/>
      <x:c r="G104" s="8"/>
      <x:c r="H104" s="8"/>
      <x:c r="I104" s="8"/>
      <x:c r="J104" s="8"/>
      <x:c r="K104" s="8"/>
      <x:c r="L104" s="68"/>
      <x:c r="M104" s="8"/>
      <x:c r="N104" s="8"/>
      <x:c r="O104" s="8"/>
    </x:row>
    <x:row r="105">
      <x:c r="A105" s="8"/>
      <x:c r="B105" s="8"/>
      <x:c r="C105" s="8"/>
      <x:c r="D105" s="8"/>
      <x:c r="E105" s="8"/>
      <x:c r="F105" s="8"/>
      <x:c r="G105" s="8"/>
      <x:c r="H105" s="8"/>
      <x:c r="I105" s="8"/>
      <x:c r="J105" s="8"/>
      <x:c r="K105" s="8"/>
      <x:c r="L105" s="68"/>
      <x:c r="M105" s="8"/>
      <x:c r="N105" s="8"/>
      <x:c r="O105" s="8"/>
    </x:row>
    <x:row r="106">
      <x:c r="A106" s="8"/>
      <x:c r="B106" s="8"/>
      <x:c r="C106" s="8"/>
      <x:c r="D106" s="8"/>
      <x:c r="E106" s="8"/>
      <x:c r="F106" s="8"/>
      <x:c r="G106" s="8"/>
      <x:c r="H106" s="8"/>
      <x:c r="I106" s="8"/>
      <x:c r="J106" s="8"/>
      <x:c r="K106" s="8"/>
      <x:c r="L106" s="68"/>
      <x:c r="M106" s="8"/>
      <x:c r="N106" s="8"/>
      <x:c r="O106" s="8"/>
    </x:row>
    <x:row r="107">
      <x:c r="A107" s="8"/>
      <x:c r="B107" s="8"/>
      <x:c r="C107" s="8"/>
      <x:c r="D107" s="8"/>
      <x:c r="E107" s="8"/>
      <x:c r="F107" s="8"/>
      <x:c r="G107" s="8"/>
      <x:c r="H107" s="8"/>
      <x:c r="I107" s="8"/>
      <x:c r="J107" s="8"/>
      <x:c r="K107" s="8"/>
      <x:c r="L107" s="68"/>
      <x:c r="M107" s="8"/>
      <x:c r="N107" s="8"/>
      <x:c r="O107" s="8"/>
    </x:row>
    <x:row r="108">
      <x:c r="A108" s="8"/>
      <x:c r="B108" s="8"/>
      <x:c r="C108" s="8"/>
      <x:c r="D108" s="8"/>
      <x:c r="E108" s="8"/>
      <x:c r="F108" s="8"/>
      <x:c r="G108" s="8"/>
      <x:c r="H108" s="8"/>
      <x:c r="I108" s="8"/>
      <x:c r="J108" s="8"/>
      <x:c r="K108" s="8"/>
      <x:c r="L108" s="68"/>
      <x:c r="M108" s="8"/>
      <x:c r="N108" s="8"/>
      <x:c r="O108" s="8"/>
    </x:row>
    <x:row r="109">
      <x:c r="A109" s="8"/>
      <x:c r="B109" s="8"/>
      <x:c r="C109" s="8"/>
      <x:c r="D109" s="8"/>
      <x:c r="E109" s="8"/>
      <x:c r="F109" s="8"/>
      <x:c r="G109" s="8"/>
      <x:c r="H109" s="8"/>
      <x:c r="I109" s="8"/>
      <x:c r="J109" s="8"/>
      <x:c r="K109" s="8"/>
      <x:c r="L109" s="68"/>
      <x:c r="M109" s="8"/>
      <x:c r="N109" s="8"/>
      <x:c r="O109" s="8"/>
    </x:row>
    <x:row r="110">
      <x:c r="A110" s="8"/>
      <x:c r="B110" s="8"/>
      <x:c r="C110" s="8"/>
      <x:c r="D110" s="8"/>
      <x:c r="E110" s="8"/>
      <x:c r="F110" s="8"/>
      <x:c r="G110" s="8"/>
      <x:c r="H110" s="8"/>
      <x:c r="I110" s="8"/>
      <x:c r="J110" s="8"/>
      <x:c r="K110" s="8"/>
      <x:c r="L110" s="68"/>
      <x:c r="M110" s="8"/>
      <x:c r="N110" s="8"/>
      <x:c r="O110" s="8"/>
    </x:row>
    <x:row r="111">
      <x:c r="A111" s="8"/>
      <x:c r="B111" s="8"/>
      <x:c r="C111" s="8"/>
      <x:c r="D111" s="8"/>
      <x:c r="E111" s="8"/>
      <x:c r="F111" s="8"/>
      <x:c r="G111" s="8"/>
      <x:c r="H111" s="8"/>
      <x:c r="I111" s="8"/>
      <x:c r="J111" s="8"/>
      <x:c r="K111" s="8"/>
      <x:c r="L111" s="68"/>
      <x:c r="M111" s="8"/>
      <x:c r="N111" s="8"/>
      <x:c r="O111" s="8"/>
    </x:row>
    <x:row r="112">
      <x:c r="A112" s="8"/>
      <x:c r="B112" s="8"/>
      <x:c r="C112" s="8"/>
      <x:c r="D112" s="8"/>
      <x:c r="E112" s="8"/>
      <x:c r="F112" s="8"/>
      <x:c r="G112" s="8"/>
      <x:c r="H112" s="8"/>
      <x:c r="I112" s="8"/>
      <x:c r="J112" s="8"/>
      <x:c r="K112" s="8"/>
      <x:c r="L112" s="68"/>
      <x:c r="M112" s="8"/>
      <x:c r="N112" s="8"/>
      <x:c r="O112" s="8"/>
    </x:row>
    <x:row r="113">
      <x:c r="A113" s="8"/>
      <x:c r="B113" s="8"/>
      <x:c r="C113" s="8"/>
      <x:c r="D113" s="8"/>
      <x:c r="E113" s="8"/>
      <x:c r="F113" s="8"/>
      <x:c r="G113" s="8"/>
      <x:c r="H113" s="8"/>
      <x:c r="I113" s="8"/>
      <x:c r="J113" s="8"/>
      <x:c r="K113" s="8"/>
      <x:c r="L113" s="68"/>
      <x:c r="M113" s="8"/>
      <x:c r="N113" s="8"/>
      <x:c r="O113" s="8"/>
    </x:row>
    <x:row r="114">
      <x:c r="A114" s="8"/>
      <x:c r="B114" s="8"/>
      <x:c r="C114" s="8"/>
      <x:c r="D114" s="8"/>
      <x:c r="E114" s="8"/>
      <x:c r="F114" s="8"/>
      <x:c r="G114" s="8"/>
      <x:c r="H114" s="8"/>
      <x:c r="I114" s="8"/>
      <x:c r="J114" s="8"/>
      <x:c r="K114" s="8"/>
      <x:c r="L114" s="68"/>
      <x:c r="M114" s="8"/>
      <x:c r="N114" s="8"/>
      <x:c r="O114" s="8"/>
    </x:row>
    <x:row r="115">
      <x:c r="A115" s="8"/>
      <x:c r="B115" s="8"/>
      <x:c r="C115" s="8"/>
      <x:c r="D115" s="8"/>
      <x:c r="E115" s="8"/>
      <x:c r="F115" s="8"/>
      <x:c r="G115" s="8"/>
      <x:c r="H115" s="8"/>
      <x:c r="I115" s="8"/>
      <x:c r="J115" s="8"/>
      <x:c r="K115" s="8"/>
      <x:c r="L115" s="68"/>
      <x:c r="M115" s="8"/>
      <x:c r="N115" s="8"/>
      <x:c r="O115" s="8"/>
    </x:row>
    <x:row r="116">
      <x:c r="A116" s="8"/>
      <x:c r="B116" s="8"/>
      <x:c r="C116" s="8"/>
      <x:c r="D116" s="8"/>
      <x:c r="E116" s="8"/>
      <x:c r="F116" s="8"/>
      <x:c r="G116" s="8"/>
      <x:c r="H116" s="8"/>
      <x:c r="I116" s="8"/>
      <x:c r="J116" s="8"/>
      <x:c r="K116" s="8"/>
      <x:c r="L116" s="68"/>
      <x:c r="M116" s="8"/>
      <x:c r="N116" s="8"/>
      <x:c r="O116" s="8"/>
    </x:row>
    <x:row r="117">
      <x:c r="A117" s="8"/>
      <x:c r="B117" s="8"/>
      <x:c r="C117" s="8"/>
      <x:c r="D117" s="8"/>
      <x:c r="E117" s="8"/>
      <x:c r="F117" s="8"/>
      <x:c r="G117" s="8"/>
      <x:c r="H117" s="8"/>
      <x:c r="I117" s="8"/>
      <x:c r="J117" s="8"/>
      <x:c r="K117" s="8"/>
      <x:c r="L117" s="68"/>
      <x:c r="M117" s="8"/>
      <x:c r="N117" s="8"/>
      <x:c r="O117" s="8"/>
    </x:row>
    <x:row r="118">
      <x:c r="A118" s="8"/>
      <x:c r="B118" s="8"/>
      <x:c r="C118" s="8"/>
      <x:c r="D118" s="8"/>
      <x:c r="E118" s="8"/>
      <x:c r="F118" s="8"/>
      <x:c r="G118" s="8"/>
      <x:c r="H118" s="8"/>
      <x:c r="I118" s="8"/>
      <x:c r="J118" s="8"/>
      <x:c r="K118" s="8"/>
      <x:c r="L118" s="68"/>
      <x:c r="M118" s="8"/>
      <x:c r="N118" s="8"/>
      <x:c r="O118" s="8"/>
    </x:row>
    <x:row r="119">
      <x:c r="A119" s="8"/>
      <x:c r="B119" s="8"/>
      <x:c r="C119" s="8"/>
      <x:c r="D119" s="8"/>
      <x:c r="E119" s="8"/>
      <x:c r="F119" s="8"/>
      <x:c r="G119" s="8"/>
      <x:c r="H119" s="8"/>
      <x:c r="I119" s="8"/>
      <x:c r="J119" s="8"/>
      <x:c r="K119" s="8"/>
      <x:c r="L119" s="68"/>
      <x:c r="M119" s="8"/>
      <x:c r="N119" s="8"/>
      <x:c r="O119" s="8"/>
    </x:row>
    <x:row r="120">
      <x:c r="A120" s="8"/>
      <x:c r="B120" s="8"/>
      <x:c r="C120" s="8"/>
      <x:c r="D120" s="8"/>
      <x:c r="E120" s="8"/>
      <x:c r="F120" s="8"/>
      <x:c r="G120" s="8"/>
      <x:c r="H120" s="8"/>
      <x:c r="I120" s="8"/>
      <x:c r="J120" s="8"/>
      <x:c r="K120" s="8"/>
      <x:c r="L120" s="68"/>
      <x:c r="M120" s="8"/>
      <x:c r="N120" s="8"/>
      <x:c r="O120" s="8"/>
    </x:row>
    <x:row r="121">
      <x:c r="A121" s="8"/>
      <x:c r="B121" s="8"/>
      <x:c r="C121" s="8"/>
      <x:c r="D121" s="8"/>
      <x:c r="E121" s="8"/>
      <x:c r="F121" s="8"/>
      <x:c r="G121" s="8"/>
      <x:c r="H121" s="8"/>
      <x:c r="I121" s="8"/>
      <x:c r="J121" s="8"/>
      <x:c r="K121" s="8"/>
      <x:c r="L121" s="68"/>
      <x:c r="M121" s="8"/>
      <x:c r="N121" s="8"/>
      <x:c r="O121" s="8"/>
    </x:row>
    <x:row r="122">
      <x:c r="A122" s="8"/>
      <x:c r="B122" s="8"/>
      <x:c r="C122" s="8"/>
      <x:c r="D122" s="8"/>
      <x:c r="E122" s="8"/>
      <x:c r="F122" s="8"/>
      <x:c r="G122" s="8"/>
      <x:c r="H122" s="8"/>
      <x:c r="I122" s="8"/>
      <x:c r="J122" s="8"/>
      <x:c r="K122" s="8"/>
      <x:c r="L122" s="68"/>
      <x:c r="M122" s="8"/>
      <x:c r="N122" s="8"/>
      <x:c r="O122" s="8"/>
    </x:row>
    <x:row r="123">
      <x:c r="A123" s="8"/>
      <x:c r="B123" s="8"/>
      <x:c r="C123" s="8"/>
      <x:c r="D123" s="8"/>
      <x:c r="E123" s="8"/>
      <x:c r="F123" s="8"/>
      <x:c r="G123" s="8"/>
      <x:c r="H123" s="8"/>
      <x:c r="I123" s="8"/>
      <x:c r="J123" s="8"/>
      <x:c r="K123" s="8"/>
      <x:c r="L123" s="68"/>
      <x:c r="M123" s="8"/>
      <x:c r="N123" s="8"/>
      <x:c r="O123" s="8"/>
    </x:row>
    <x:row r="124">
      <x:c r="A124" s="8"/>
      <x:c r="B124" s="8"/>
      <x:c r="C124" s="8"/>
      <x:c r="D124" s="8"/>
      <x:c r="E124" s="8"/>
      <x:c r="F124" s="8"/>
      <x:c r="G124" s="8"/>
      <x:c r="H124" s="8"/>
      <x:c r="I124" s="8"/>
      <x:c r="J124" s="8"/>
      <x:c r="K124" s="8"/>
      <x:c r="L124" s="68"/>
      <x:c r="M124" s="8"/>
      <x:c r="N124" s="8"/>
      <x:c r="O124" s="8"/>
    </x:row>
    <x:row r="125">
      <x:c r="A125" s="8"/>
      <x:c r="B125" s="8"/>
      <x:c r="C125" s="8"/>
      <x:c r="D125" s="8"/>
      <x:c r="E125" s="8"/>
      <x:c r="F125" s="8"/>
      <x:c r="G125" s="8"/>
      <x:c r="H125" s="8"/>
      <x:c r="I125" s="8"/>
      <x:c r="J125" s="8"/>
      <x:c r="K125" s="8"/>
      <x:c r="L125" s="68"/>
      <x:c r="M125" s="8"/>
      <x:c r="N125" s="8"/>
      <x:c r="O125" s="8"/>
    </x:row>
    <x:row r="126">
      <x:c r="A126" s="8"/>
      <x:c r="B126" s="8"/>
      <x:c r="C126" s="8"/>
      <x:c r="D126" s="8"/>
      <x:c r="E126" s="8"/>
      <x:c r="F126" s="8"/>
      <x:c r="G126" s="8"/>
      <x:c r="H126" s="8"/>
      <x:c r="I126" s="8"/>
      <x:c r="J126" s="8"/>
      <x:c r="K126" s="8"/>
      <x:c r="L126" s="68"/>
      <x:c r="M126" s="8"/>
      <x:c r="N126" s="8"/>
      <x:c r="O126" s="8"/>
    </x:row>
    <x:row r="127">
      <x:c r="A127" s="8"/>
      <x:c r="B127" s="8"/>
      <x:c r="C127" s="8"/>
      <x:c r="D127" s="8"/>
      <x:c r="E127" s="8"/>
      <x:c r="F127" s="8"/>
      <x:c r="G127" s="8"/>
      <x:c r="H127" s="8"/>
      <x:c r="I127" s="8"/>
      <x:c r="J127" s="8"/>
      <x:c r="K127" s="8"/>
      <x:c r="L127" s="68"/>
      <x:c r="M127" s="8"/>
      <x:c r="N127" s="8"/>
      <x:c r="O127" s="8"/>
    </x:row>
    <x:row r="128">
      <x:c r="A128" s="8"/>
      <x:c r="B128" s="8"/>
      <x:c r="C128" s="8"/>
      <x:c r="D128" s="8"/>
      <x:c r="E128" s="8"/>
      <x:c r="F128" s="8"/>
      <x:c r="G128" s="8"/>
      <x:c r="H128" s="8"/>
      <x:c r="I128" s="8"/>
      <x:c r="J128" s="8"/>
      <x:c r="K128" s="8"/>
      <x:c r="L128" s="68"/>
      <x:c r="M128" s="8"/>
      <x:c r="N128" s="8"/>
      <x:c r="O128" s="8"/>
    </x:row>
    <x:row r="129">
      <x:c r="A129" s="8"/>
      <x:c r="B129" s="8"/>
      <x:c r="C129" s="8"/>
      <x:c r="D129" s="8"/>
      <x:c r="E129" s="8"/>
      <x:c r="F129" s="8"/>
      <x:c r="G129" s="8"/>
      <x:c r="H129" s="8"/>
      <x:c r="I129" s="8"/>
      <x:c r="J129" s="8"/>
      <x:c r="K129" s="8"/>
      <x:c r="L129" s="68"/>
      <x:c r="M129" s="8"/>
      <x:c r="N129" s="8"/>
      <x:c r="O129" s="8"/>
    </x:row>
    <x:row r="130">
      <x:c r="A130" s="8"/>
      <x:c r="B130" s="8"/>
      <x:c r="C130" s="8"/>
      <x:c r="D130" s="8"/>
      <x:c r="E130" s="8"/>
      <x:c r="F130" s="8"/>
      <x:c r="G130" s="8"/>
      <x:c r="H130" s="8"/>
      <x:c r="I130" s="8"/>
      <x:c r="J130" s="8"/>
      <x:c r="K130" s="8"/>
      <x:c r="L130" s="68"/>
      <x:c r="M130" s="8"/>
      <x:c r="N130" s="8"/>
      <x:c r="O130" s="8"/>
    </x:row>
    <x:row r="131">
      <x:c r="A131" s="8"/>
      <x:c r="B131" s="8"/>
      <x:c r="C131" s="8"/>
      <x:c r="D131" s="8"/>
      <x:c r="E131" s="8"/>
      <x:c r="F131" s="8"/>
      <x:c r="G131" s="8"/>
      <x:c r="H131" s="8"/>
      <x:c r="I131" s="8"/>
      <x:c r="J131" s="8"/>
      <x:c r="K131" s="8"/>
      <x:c r="L131" s="68"/>
      <x:c r="M131" s="8"/>
      <x:c r="N131" s="8"/>
      <x:c r="O131" s="8"/>
    </x:row>
    <x:row r="132">
      <x:c r="A132" s="8"/>
      <x:c r="B132" s="8"/>
      <x:c r="C132" s="8"/>
      <x:c r="D132" s="8"/>
      <x:c r="E132" s="8"/>
      <x:c r="F132" s="8"/>
      <x:c r="G132" s="8"/>
      <x:c r="H132" s="8"/>
      <x:c r="I132" s="8"/>
      <x:c r="J132" s="8"/>
      <x:c r="K132" s="8"/>
      <x:c r="L132" s="68"/>
      <x:c r="M132" s="8"/>
      <x:c r="N132" s="8"/>
      <x:c r="O132" s="8"/>
    </x:row>
    <x:row r="133">
      <x:c r="A133" s="8"/>
      <x:c r="B133" s="8"/>
      <x:c r="C133" s="8"/>
      <x:c r="D133" s="8"/>
      <x:c r="E133" s="8"/>
      <x:c r="F133" s="8"/>
      <x:c r="G133" s="8"/>
      <x:c r="H133" s="8"/>
      <x:c r="I133" s="8"/>
      <x:c r="J133" s="8"/>
      <x:c r="K133" s="8"/>
      <x:c r="L133" s="68"/>
      <x:c r="M133" s="8"/>
      <x:c r="N133" s="8"/>
      <x:c r="O133" s="8"/>
    </x:row>
    <x:row r="134">
      <x:c r="A134" s="8"/>
      <x:c r="B134" s="8"/>
      <x:c r="C134" s="8"/>
      <x:c r="D134" s="8"/>
      <x:c r="E134" s="8"/>
      <x:c r="F134" s="8"/>
      <x:c r="G134" s="8"/>
      <x:c r="H134" s="8"/>
      <x:c r="I134" s="8"/>
      <x:c r="J134" s="8"/>
      <x:c r="K134" s="8"/>
      <x:c r="L134" s="68"/>
      <x:c r="M134" s="8"/>
      <x:c r="N134" s="8"/>
      <x:c r="O134" s="8"/>
    </x:row>
    <x:row r="135">
      <x:c r="A135" s="8"/>
      <x:c r="B135" s="8"/>
      <x:c r="C135" s="8"/>
      <x:c r="D135" s="8"/>
      <x:c r="E135" s="8"/>
      <x:c r="F135" s="8"/>
      <x:c r="G135" s="8"/>
      <x:c r="H135" s="8"/>
      <x:c r="I135" s="8"/>
      <x:c r="J135" s="8"/>
      <x:c r="K135" s="8"/>
      <x:c r="L135" s="68"/>
      <x:c r="M135" s="8"/>
      <x:c r="N135" s="8"/>
      <x:c r="O135" s="8"/>
    </x:row>
    <x:row r="136">
      <x:c r="A136" s="8"/>
      <x:c r="B136" s="8"/>
      <x:c r="C136" s="8"/>
      <x:c r="D136" s="8"/>
      <x:c r="E136" s="8"/>
      <x:c r="F136" s="8"/>
      <x:c r="G136" s="8"/>
      <x:c r="H136" s="8"/>
      <x:c r="I136" s="8"/>
      <x:c r="J136" s="8"/>
      <x:c r="K136" s="8"/>
      <x:c r="L136" s="68"/>
      <x:c r="M136" s="8"/>
      <x:c r="N136" s="8"/>
      <x:c r="O136" s="8"/>
    </x:row>
    <x:row r="137">
      <x:c r="A137" s="8"/>
      <x:c r="B137" s="8"/>
      <x:c r="C137" s="8"/>
      <x:c r="D137" s="8"/>
      <x:c r="E137" s="8"/>
      <x:c r="F137" s="8"/>
      <x:c r="G137" s="8"/>
      <x:c r="H137" s="8"/>
      <x:c r="I137" s="8"/>
      <x:c r="J137" s="8"/>
      <x:c r="K137" s="8"/>
      <x:c r="L137" s="68"/>
      <x:c r="M137" s="8"/>
      <x:c r="N137" s="8"/>
      <x:c r="O137" s="8"/>
    </x:row>
    <x:row r="138">
      <x:c r="A138" s="8"/>
      <x:c r="B138" s="8"/>
      <x:c r="C138" s="8"/>
      <x:c r="D138" s="8"/>
      <x:c r="E138" s="8"/>
      <x:c r="F138" s="8"/>
      <x:c r="G138" s="8"/>
      <x:c r="H138" s="8"/>
      <x:c r="I138" s="8"/>
      <x:c r="J138" s="8"/>
      <x:c r="K138" s="8"/>
      <x:c r="L138" s="68"/>
      <x:c r="M138" s="8"/>
      <x:c r="N138" s="8"/>
      <x:c r="O138" s="8"/>
    </x:row>
    <x:row r="139">
      <x:c r="A139" s="8"/>
      <x:c r="B139" s="8"/>
      <x:c r="C139" s="8"/>
      <x:c r="D139" s="8"/>
      <x:c r="E139" s="8"/>
      <x:c r="F139" s="8"/>
      <x:c r="G139" s="8"/>
      <x:c r="H139" s="8"/>
      <x:c r="I139" s="8"/>
      <x:c r="J139" s="8"/>
      <x:c r="K139" s="8"/>
      <x:c r="L139" s="68"/>
      <x:c r="M139" s="8"/>
      <x:c r="N139" s="8"/>
      <x:c r="O139" s="8"/>
    </x:row>
    <x:row r="140">
      <x:c r="A140" s="8"/>
      <x:c r="B140" s="8"/>
      <x:c r="C140" s="8"/>
      <x:c r="D140" s="8"/>
      <x:c r="E140" s="8"/>
      <x:c r="F140" s="8"/>
      <x:c r="G140" s="8"/>
      <x:c r="H140" s="8"/>
      <x:c r="I140" s="8"/>
      <x:c r="J140" s="8"/>
      <x:c r="K140" s="8"/>
      <x:c r="L140" s="68"/>
      <x:c r="M140" s="8"/>
      <x:c r="N140" s="8"/>
      <x:c r="O140" s="8"/>
    </x:row>
    <x:row r="141">
      <x:c r="A141" s="8"/>
      <x:c r="B141" s="8"/>
      <x:c r="C141" s="8"/>
      <x:c r="D141" s="8"/>
      <x:c r="E141" s="8"/>
      <x:c r="F141" s="8"/>
      <x:c r="G141" s="8"/>
      <x:c r="H141" s="8"/>
      <x:c r="I141" s="8"/>
      <x:c r="J141" s="8"/>
      <x:c r="K141" s="8"/>
      <x:c r="L141" s="68"/>
      <x:c r="M141" s="8"/>
      <x:c r="N141" s="8"/>
      <x:c r="O141" s="8"/>
    </x:row>
    <x:row r="142">
      <x:c r="A142" s="8"/>
      <x:c r="B142" s="8"/>
      <x:c r="C142" s="8"/>
      <x:c r="D142" s="8"/>
      <x:c r="E142" s="8"/>
      <x:c r="F142" s="8"/>
      <x:c r="G142" s="8"/>
      <x:c r="H142" s="8"/>
      <x:c r="I142" s="8"/>
      <x:c r="J142" s="8"/>
      <x:c r="K142" s="8"/>
      <x:c r="L142" s="68"/>
      <x:c r="M142" s="8"/>
      <x:c r="N142" s="8"/>
      <x:c r="O142" s="8"/>
    </x:row>
    <x:row r="143">
      <x:c r="A143" s="8"/>
      <x:c r="B143" s="8"/>
      <x:c r="C143" s="8"/>
      <x:c r="D143" s="8"/>
      <x:c r="E143" s="8"/>
      <x:c r="F143" s="8"/>
      <x:c r="G143" s="8"/>
      <x:c r="H143" s="8"/>
      <x:c r="I143" s="8"/>
      <x:c r="J143" s="8"/>
      <x:c r="K143" s="8"/>
      <x:c r="L143" s="68"/>
      <x:c r="M143" s="8"/>
      <x:c r="N143" s="8"/>
      <x:c r="O143" s="8"/>
    </x:row>
    <x:row r="144">
      <x:c r="A144" s="8"/>
      <x:c r="B144" s="8"/>
      <x:c r="C144" s="8"/>
      <x:c r="D144" s="8"/>
      <x:c r="E144" s="8"/>
      <x:c r="F144" s="8"/>
      <x:c r="G144" s="8"/>
      <x:c r="H144" s="8"/>
      <x:c r="I144" s="8"/>
      <x:c r="J144" s="8"/>
      <x:c r="K144" s="8"/>
      <x:c r="L144" s="68"/>
      <x:c r="M144" s="8"/>
      <x:c r="N144" s="8"/>
      <x:c r="O144" s="8"/>
    </x:row>
    <x:row r="145">
      <x:c r="A145" s="8"/>
      <x:c r="B145" s="8"/>
      <x:c r="C145" s="8"/>
      <x:c r="D145" s="8"/>
      <x:c r="E145" s="8"/>
      <x:c r="F145" s="8"/>
      <x:c r="G145" s="8"/>
      <x:c r="H145" s="8"/>
      <x:c r="I145" s="8"/>
      <x:c r="J145" s="8"/>
      <x:c r="K145" s="8"/>
      <x:c r="L145" s="68"/>
      <x:c r="M145" s="8"/>
      <x:c r="N145" s="8"/>
      <x:c r="O145" s="8"/>
    </x:row>
    <x:row r="146">
      <x:c r="A146" s="8"/>
      <x:c r="B146" s="8"/>
      <x:c r="C146" s="8"/>
      <x:c r="D146" s="8"/>
      <x:c r="E146" s="8"/>
      <x:c r="F146" s="8"/>
      <x:c r="G146" s="8"/>
      <x:c r="H146" s="8"/>
      <x:c r="I146" s="8"/>
      <x:c r="J146" s="8"/>
      <x:c r="K146" s="8"/>
      <x:c r="L146" s="68"/>
      <x:c r="M146" s="8"/>
      <x:c r="N146" s="8"/>
      <x:c r="O146" s="8"/>
    </x:row>
    <x:row r="147">
      <x:c r="A147" s="8"/>
      <x:c r="B147" s="8"/>
      <x:c r="C147" s="8"/>
      <x:c r="D147" s="8"/>
      <x:c r="E147" s="8"/>
      <x:c r="F147" s="8"/>
      <x:c r="G147" s="8"/>
      <x:c r="H147" s="8"/>
      <x:c r="I147" s="8"/>
      <x:c r="J147" s="8"/>
      <x:c r="K147" s="8"/>
      <x:c r="L147" s="68"/>
      <x:c r="M147" s="8"/>
      <x:c r="N147" s="8"/>
      <x:c r="O147" s="8"/>
    </x:row>
    <x:row r="148">
      <x:c r="A148" s="8"/>
      <x:c r="B148" s="8"/>
      <x:c r="C148" s="8"/>
      <x:c r="D148" s="8"/>
      <x:c r="E148" s="8"/>
      <x:c r="F148" s="8"/>
      <x:c r="G148" s="8"/>
      <x:c r="H148" s="8"/>
      <x:c r="I148" s="8"/>
      <x:c r="J148" s="8"/>
      <x:c r="K148" s="8"/>
      <x:c r="L148" s="68"/>
      <x:c r="M148" s="8"/>
      <x:c r="N148" s="8"/>
      <x:c r="O148" s="8"/>
    </x:row>
    <x:row r="149">
      <x:c r="A149" s="8"/>
      <x:c r="B149" s="8"/>
      <x:c r="C149" s="8"/>
      <x:c r="D149" s="8"/>
      <x:c r="E149" s="8"/>
      <x:c r="F149" s="8"/>
      <x:c r="G149" s="8"/>
      <x:c r="H149" s="8"/>
      <x:c r="I149" s="8"/>
      <x:c r="J149" s="8"/>
      <x:c r="K149" s="8"/>
      <x:c r="L149" s="68"/>
      <x:c r="M149" s="8"/>
      <x:c r="N149" s="8"/>
      <x:c r="O149" s="8"/>
    </x:row>
    <x:row r="150">
      <x:c r="A150" s="8"/>
      <x:c r="B150" s="8"/>
      <x:c r="C150" s="8"/>
      <x:c r="D150" s="8"/>
      <x:c r="E150" s="8"/>
      <x:c r="F150" s="8"/>
      <x:c r="G150" s="8"/>
      <x:c r="H150" s="8"/>
      <x:c r="I150" s="8"/>
      <x:c r="J150" s="8"/>
      <x:c r="K150" s="8"/>
      <x:c r="L150" s="68"/>
      <x:c r="M150" s="8"/>
      <x:c r="N150" s="8"/>
      <x:c r="O150" s="8"/>
    </x:row>
    <x:row r="151">
      <x:c r="A151" s="8"/>
      <x:c r="B151" s="8"/>
      <x:c r="C151" s="8"/>
      <x:c r="D151" s="8"/>
      <x:c r="E151" s="8"/>
      <x:c r="F151" s="8"/>
      <x:c r="G151" s="8"/>
      <x:c r="H151" s="8"/>
      <x:c r="I151" s="8"/>
      <x:c r="J151" s="8"/>
      <x:c r="K151" s="8"/>
      <x:c r="L151" s="68"/>
      <x:c r="M151" s="8"/>
      <x:c r="N151" s="8"/>
      <x:c r="O151" s="8"/>
    </x:row>
    <x:row r="152">
      <x:c r="A152" s="8"/>
      <x:c r="B152" s="8"/>
      <x:c r="C152" s="8"/>
      <x:c r="D152" s="8"/>
      <x:c r="E152" s="8"/>
      <x:c r="F152" s="8"/>
      <x:c r="G152" s="8"/>
      <x:c r="H152" s="8"/>
      <x:c r="I152" s="8"/>
      <x:c r="J152" s="8"/>
      <x:c r="K152" s="8"/>
      <x:c r="L152" s="68"/>
      <x:c r="M152" s="8"/>
      <x:c r="N152" s="8"/>
      <x:c r="O152" s="8"/>
    </x:row>
    <x:row r="153">
      <x:c r="A153" s="8"/>
      <x:c r="B153" s="8"/>
      <x:c r="C153" s="8"/>
      <x:c r="D153" s="8"/>
      <x:c r="E153" s="8"/>
      <x:c r="F153" s="8"/>
      <x:c r="G153" s="8"/>
      <x:c r="H153" s="8"/>
      <x:c r="I153" s="8"/>
      <x:c r="J153" s="8"/>
      <x:c r="K153" s="8"/>
      <x:c r="L153" s="68"/>
      <x:c r="M153" s="8"/>
      <x:c r="N153" s="8"/>
      <x:c r="O153" s="8"/>
    </x:row>
    <x:row r="154">
      <x:c r="A154" s="8"/>
      <x:c r="B154" s="8"/>
      <x:c r="C154" s="8"/>
      <x:c r="D154" s="8"/>
      <x:c r="E154" s="8"/>
      <x:c r="F154" s="8"/>
      <x:c r="G154" s="8"/>
      <x:c r="H154" s="8"/>
      <x:c r="I154" s="8"/>
      <x:c r="J154" s="8"/>
      <x:c r="K154" s="8"/>
      <x:c r="L154" s="68"/>
      <x:c r="M154" s="8"/>
      <x:c r="N154" s="8"/>
      <x:c r="O154" s="8"/>
    </x:row>
    <x:row r="155">
      <x:c r="A155" s="8"/>
      <x:c r="B155" s="8"/>
      <x:c r="C155" s="8"/>
      <x:c r="D155" s="8"/>
      <x:c r="E155" s="8"/>
      <x:c r="F155" s="8"/>
      <x:c r="G155" s="8"/>
      <x:c r="H155" s="8"/>
      <x:c r="I155" s="8"/>
      <x:c r="J155" s="8"/>
      <x:c r="K155" s="8"/>
      <x:c r="L155" s="68"/>
      <x:c r="M155" s="8"/>
      <x:c r="N155" s="8"/>
      <x:c r="O155" s="8"/>
    </x:row>
    <x:row r="156">
      <x:c r="A156" s="8"/>
      <x:c r="B156" s="8"/>
      <x:c r="C156" s="8"/>
      <x:c r="D156" s="8"/>
      <x:c r="E156" s="8"/>
      <x:c r="F156" s="8"/>
      <x:c r="G156" s="8"/>
      <x:c r="H156" s="8"/>
      <x:c r="I156" s="8"/>
      <x:c r="J156" s="8"/>
      <x:c r="K156" s="8"/>
      <x:c r="L156" s="68"/>
      <x:c r="M156" s="8"/>
      <x:c r="N156" s="8"/>
      <x:c r="O156" s="8"/>
    </x:row>
    <x:row r="157">
      <x:c r="A157" s="8"/>
      <x:c r="B157" s="8"/>
      <x:c r="C157" s="8"/>
      <x:c r="D157" s="8"/>
      <x:c r="E157" s="8"/>
      <x:c r="F157" s="8"/>
      <x:c r="G157" s="8"/>
      <x:c r="H157" s="8"/>
      <x:c r="I157" s="8"/>
      <x:c r="J157" s="8"/>
      <x:c r="K157" s="8"/>
      <x:c r="L157" s="68"/>
      <x:c r="M157" s="8"/>
      <x:c r="N157" s="8"/>
      <x:c r="O157" s="8"/>
    </x:row>
    <x:row r="158">
      <x:c r="A158" s="8"/>
      <x:c r="B158" s="8"/>
      <x:c r="C158" s="8"/>
      <x:c r="D158" s="8"/>
      <x:c r="E158" s="8"/>
      <x:c r="F158" s="8"/>
      <x:c r="G158" s="8"/>
      <x:c r="H158" s="8"/>
      <x:c r="I158" s="8"/>
      <x:c r="J158" s="8"/>
      <x:c r="K158" s="8"/>
      <x:c r="L158" s="68"/>
      <x:c r="M158" s="8"/>
      <x:c r="N158" s="8"/>
      <x:c r="O158" s="8"/>
    </x:row>
    <x:row r="159">
      <x:c r="A159" s="8"/>
      <x:c r="B159" s="8"/>
      <x:c r="C159" s="8"/>
      <x:c r="D159" s="8"/>
      <x:c r="E159" s="8"/>
      <x:c r="F159" s="8"/>
      <x:c r="G159" s="8"/>
      <x:c r="H159" s="8"/>
      <x:c r="I159" s="8"/>
      <x:c r="J159" s="8"/>
      <x:c r="K159" s="8"/>
      <x:c r="L159" s="68"/>
      <x:c r="M159" s="8"/>
      <x:c r="N159" s="8"/>
      <x:c r="O159" s="8"/>
    </x:row>
    <x:row r="160">
      <x:c r="A160" s="8"/>
      <x:c r="B160" s="8"/>
      <x:c r="C160" s="8"/>
      <x:c r="D160" s="8"/>
      <x:c r="E160" s="8"/>
      <x:c r="F160" s="8"/>
      <x:c r="G160" s="8"/>
      <x:c r="H160" s="8"/>
      <x:c r="I160" s="8"/>
      <x:c r="J160" s="8"/>
      <x:c r="K160" s="8"/>
      <x:c r="L160" s="68"/>
      <x:c r="M160" s="8"/>
      <x:c r="N160" s="8"/>
      <x:c r="O160" s="8"/>
    </x:row>
    <x:row r="161">
      <x:c r="A161" s="8"/>
      <x:c r="B161" s="8"/>
      <x:c r="C161" s="8"/>
      <x:c r="D161" s="8"/>
      <x:c r="E161" s="8"/>
      <x:c r="F161" s="8"/>
      <x:c r="G161" s="8"/>
      <x:c r="H161" s="8"/>
      <x:c r="I161" s="8"/>
      <x:c r="J161" s="8"/>
      <x:c r="K161" s="8"/>
      <x:c r="L161" s="68"/>
      <x:c r="M161" s="8"/>
      <x:c r="N161" s="8"/>
      <x:c r="O161" s="8"/>
    </x:row>
    <x:row r="162">
      <x:c r="A162" s="8"/>
      <x:c r="B162" s="8"/>
      <x:c r="C162" s="8"/>
      <x:c r="D162" s="8"/>
      <x:c r="E162" s="8"/>
      <x:c r="F162" s="8"/>
      <x:c r="G162" s="8"/>
      <x:c r="H162" s="8"/>
      <x:c r="I162" s="8"/>
      <x:c r="J162" s="8"/>
      <x:c r="K162" s="8"/>
      <x:c r="L162" s="68"/>
      <x:c r="M162" s="8"/>
      <x:c r="N162" s="8"/>
      <x:c r="O162" s="8"/>
    </x:row>
    <x:row r="163">
      <x:c r="A163" s="8"/>
      <x:c r="B163" s="8"/>
      <x:c r="C163" s="8"/>
      <x:c r="D163" s="8"/>
      <x:c r="E163" s="8"/>
      <x:c r="F163" s="8"/>
      <x:c r="G163" s="8"/>
      <x:c r="H163" s="8"/>
      <x:c r="I163" s="8"/>
      <x:c r="J163" s="8"/>
      <x:c r="K163" s="8"/>
      <x:c r="L163" s="68"/>
      <x:c r="M163" s="8"/>
      <x:c r="N163" s="8"/>
      <x:c r="O163" s="8"/>
    </x:row>
    <x:row r="164">
      <x:c r="A164" s="8"/>
      <x:c r="B164" s="8"/>
      <x:c r="C164" s="8"/>
      <x:c r="D164" s="8"/>
      <x:c r="E164" s="8"/>
      <x:c r="F164" s="8"/>
      <x:c r="G164" s="8"/>
      <x:c r="H164" s="8"/>
      <x:c r="I164" s="8"/>
      <x:c r="J164" s="8"/>
      <x:c r="K164" s="8"/>
      <x:c r="L164" s="68"/>
      <x:c r="M164" s="8"/>
      <x:c r="N164" s="8"/>
      <x:c r="O164" s="8"/>
    </x:row>
    <x:row r="165">
      <x:c r="A165" s="8"/>
      <x:c r="B165" s="8"/>
      <x:c r="C165" s="8"/>
      <x:c r="D165" s="8"/>
      <x:c r="E165" s="8"/>
      <x:c r="F165" s="8"/>
      <x:c r="G165" s="8"/>
      <x:c r="H165" s="8"/>
      <x:c r="I165" s="8"/>
      <x:c r="J165" s="8"/>
      <x:c r="K165" s="8"/>
      <x:c r="L165" s="68"/>
      <x:c r="M165" s="8"/>
      <x:c r="N165" s="8"/>
      <x:c r="O165" s="8"/>
    </x:row>
    <x:row r="166">
      <x:c r="A166" s="8"/>
      <x:c r="B166" s="8"/>
      <x:c r="C166" s="8"/>
      <x:c r="D166" s="8"/>
      <x:c r="E166" s="8"/>
      <x:c r="F166" s="8"/>
      <x:c r="G166" s="8"/>
      <x:c r="H166" s="8"/>
      <x:c r="I166" s="8"/>
      <x:c r="J166" s="8"/>
      <x:c r="K166" s="8"/>
      <x:c r="L166" s="68"/>
      <x:c r="M166" s="8"/>
      <x:c r="N166" s="8"/>
      <x:c r="O166" s="8"/>
    </x:row>
    <x:row r="167">
      <x:c r="A167" s="8"/>
      <x:c r="B167" s="8"/>
      <x:c r="C167" s="8"/>
      <x:c r="D167" s="8"/>
      <x:c r="E167" s="8"/>
      <x:c r="F167" s="8"/>
      <x:c r="G167" s="8"/>
      <x:c r="H167" s="8"/>
      <x:c r="I167" s="8"/>
      <x:c r="J167" s="8"/>
      <x:c r="K167" s="8"/>
      <x:c r="L167" s="68"/>
      <x:c r="M167" s="8"/>
      <x:c r="N167" s="8"/>
      <x:c r="O167" s="8"/>
    </x:row>
    <x:row r="168">
      <x:c r="A168" s="8"/>
      <x:c r="B168" s="8"/>
      <x:c r="C168" s="8"/>
      <x:c r="D168" s="8"/>
      <x:c r="E168" s="8"/>
      <x:c r="F168" s="8"/>
      <x:c r="G168" s="8"/>
      <x:c r="H168" s="8"/>
      <x:c r="I168" s="8"/>
      <x:c r="J168" s="8"/>
      <x:c r="K168" s="8"/>
      <x:c r="L168" s="68"/>
      <x:c r="M168" s="8"/>
      <x:c r="N168" s="8"/>
      <x:c r="O168" s="8"/>
    </x:row>
    <x:row r="169">
      <x:c r="A169" s="8"/>
      <x:c r="B169" s="8"/>
      <x:c r="C169" s="8"/>
      <x:c r="D169" s="8"/>
      <x:c r="E169" s="8"/>
      <x:c r="F169" s="8"/>
      <x:c r="G169" s="8"/>
      <x:c r="H169" s="8"/>
      <x:c r="I169" s="8"/>
      <x:c r="J169" s="8"/>
      <x:c r="K169" s="8"/>
      <x:c r="L169" s="68"/>
      <x:c r="M169" s="8"/>
      <x:c r="N169" s="8"/>
      <x:c r="O169" s="8"/>
    </x:row>
    <x:row r="170">
      <x:c r="A170" s="8"/>
      <x:c r="B170" s="8"/>
      <x:c r="C170" s="8"/>
      <x:c r="D170" s="8"/>
      <x:c r="E170" s="8"/>
      <x:c r="F170" s="8"/>
      <x:c r="G170" s="8"/>
      <x:c r="H170" s="8"/>
      <x:c r="I170" s="8"/>
      <x:c r="J170" s="8"/>
      <x:c r="K170" s="8"/>
      <x:c r="L170" s="68"/>
      <x:c r="M170" s="8"/>
      <x:c r="N170" s="8"/>
      <x:c r="O170" s="8"/>
    </x:row>
    <x:row r="171">
      <x:c r="A171" s="8"/>
      <x:c r="B171" s="8"/>
      <x:c r="C171" s="8"/>
      <x:c r="D171" s="8"/>
      <x:c r="E171" s="8"/>
      <x:c r="F171" s="8"/>
      <x:c r="G171" s="8"/>
      <x:c r="H171" s="8"/>
      <x:c r="I171" s="8"/>
      <x:c r="J171" s="8"/>
      <x:c r="K171" s="8"/>
      <x:c r="L171" s="68"/>
      <x:c r="M171" s="8"/>
      <x:c r="N171" s="8"/>
      <x:c r="O171" s="8"/>
    </x:row>
    <x:row r="172">
      <x:c r="A172" s="8"/>
      <x:c r="B172" s="8"/>
      <x:c r="C172" s="8"/>
      <x:c r="D172" s="8"/>
      <x:c r="E172" s="8"/>
      <x:c r="F172" s="8"/>
      <x:c r="G172" s="8"/>
      <x:c r="H172" s="8"/>
      <x:c r="I172" s="8"/>
      <x:c r="J172" s="8"/>
      <x:c r="K172" s="8"/>
      <x:c r="L172" s="68"/>
      <x:c r="M172" s="8"/>
      <x:c r="N172" s="8"/>
      <x:c r="O172" s="8"/>
    </x:row>
    <x:row r="173">
      <x:c r="A173" s="8"/>
      <x:c r="B173" s="8"/>
      <x:c r="C173" s="8"/>
      <x:c r="D173" s="8"/>
      <x:c r="E173" s="8"/>
      <x:c r="F173" s="8"/>
      <x:c r="G173" s="8"/>
      <x:c r="H173" s="8"/>
      <x:c r="I173" s="8"/>
      <x:c r="J173" s="8"/>
      <x:c r="K173" s="8"/>
      <x:c r="L173" s="68"/>
      <x:c r="M173" s="8"/>
      <x:c r="N173" s="8"/>
      <x:c r="O173" s="8"/>
    </x:row>
    <x:row r="174">
      <x:c r="A174" s="8"/>
      <x:c r="B174" s="8"/>
      <x:c r="C174" s="8"/>
      <x:c r="D174" s="8"/>
      <x:c r="E174" s="8"/>
      <x:c r="F174" s="8"/>
      <x:c r="G174" s="8"/>
      <x:c r="H174" s="8"/>
      <x:c r="I174" s="8"/>
      <x:c r="J174" s="8"/>
      <x:c r="K174" s="8"/>
      <x:c r="L174" s="68"/>
      <x:c r="M174" s="8"/>
      <x:c r="N174" s="8"/>
      <x:c r="O174" s="8"/>
    </x:row>
    <x:row r="175">
      <x:c r="A175" s="8"/>
      <x:c r="B175" s="8"/>
      <x:c r="C175" s="8"/>
      <x:c r="D175" s="8"/>
      <x:c r="E175" s="8"/>
      <x:c r="F175" s="8"/>
      <x:c r="G175" s="8"/>
      <x:c r="H175" s="8"/>
      <x:c r="I175" s="8"/>
      <x:c r="J175" s="8"/>
      <x:c r="K175" s="8"/>
      <x:c r="L175" s="68"/>
      <x:c r="M175" s="8"/>
      <x:c r="N175" s="8"/>
      <x:c r="O175" s="8"/>
    </x:row>
    <x:row r="176">
      <x:c r="A176" s="8"/>
      <x:c r="B176" s="8"/>
      <x:c r="C176" s="8"/>
      <x:c r="D176" s="8"/>
      <x:c r="E176" s="8"/>
      <x:c r="F176" s="8"/>
      <x:c r="G176" s="8"/>
      <x:c r="H176" s="8"/>
      <x:c r="I176" s="8"/>
      <x:c r="J176" s="8"/>
      <x:c r="K176" s="8"/>
      <x:c r="L176" s="68"/>
      <x:c r="M176" s="8"/>
      <x:c r="N176" s="8"/>
      <x:c r="O176" s="8"/>
    </x:row>
    <x:row r="177">
      <x:c r="A177" s="8"/>
      <x:c r="B177" s="8"/>
      <x:c r="C177" s="8"/>
      <x:c r="D177" s="8"/>
      <x:c r="E177" s="8"/>
      <x:c r="F177" s="8"/>
      <x:c r="G177" s="8"/>
      <x:c r="H177" s="8"/>
      <x:c r="I177" s="8"/>
      <x:c r="J177" s="8"/>
      <x:c r="K177" s="8"/>
      <x:c r="L177" s="68"/>
      <x:c r="M177" s="8"/>
      <x:c r="N177" s="8"/>
      <x:c r="O177" s="8"/>
    </x:row>
    <x:row r="178">
      <x:c r="A178" s="8"/>
      <x:c r="B178" s="8"/>
      <x:c r="C178" s="8"/>
      <x:c r="D178" s="8"/>
      <x:c r="E178" s="8"/>
      <x:c r="F178" s="8"/>
      <x:c r="G178" s="8"/>
      <x:c r="H178" s="8"/>
      <x:c r="I178" s="8"/>
      <x:c r="J178" s="8"/>
      <x:c r="K178" s="8"/>
      <x:c r="L178" s="68"/>
      <x:c r="M178" s="8"/>
      <x:c r="N178" s="8"/>
      <x:c r="O178" s="8"/>
    </x:row>
    <x:row r="179">
      <x:c r="A179" s="8"/>
      <x:c r="B179" s="8"/>
      <x:c r="C179" s="8"/>
      <x:c r="D179" s="8"/>
      <x:c r="E179" s="8"/>
      <x:c r="F179" s="8"/>
      <x:c r="G179" s="8"/>
      <x:c r="H179" s="8"/>
      <x:c r="I179" s="8"/>
      <x:c r="J179" s="8"/>
      <x:c r="K179" s="8"/>
      <x:c r="L179" s="68"/>
      <x:c r="M179" s="8"/>
      <x:c r="N179" s="8"/>
      <x:c r="O179" s="8"/>
    </x:row>
    <x:row r="180">
      <x:c r="A180" s="8"/>
      <x:c r="B180" s="8"/>
      <x:c r="C180" s="8"/>
      <x:c r="D180" s="8"/>
      <x:c r="E180" s="8"/>
      <x:c r="F180" s="8"/>
      <x:c r="G180" s="8"/>
      <x:c r="H180" s="8"/>
      <x:c r="I180" s="8"/>
      <x:c r="J180" s="8"/>
      <x:c r="K180" s="8"/>
      <x:c r="L180" s="68"/>
      <x:c r="M180" s="8"/>
      <x:c r="N180" s="8"/>
      <x:c r="O180" s="8"/>
    </x:row>
    <x:row r="181">
      <x:c r="A181" s="8"/>
      <x:c r="B181" s="8"/>
      <x:c r="C181" s="8"/>
      <x:c r="D181" s="8"/>
      <x:c r="E181" s="8"/>
      <x:c r="F181" s="8"/>
      <x:c r="G181" s="8"/>
      <x:c r="H181" s="8"/>
      <x:c r="I181" s="8"/>
      <x:c r="J181" s="8"/>
      <x:c r="K181" s="8"/>
      <x:c r="L181" s="68"/>
      <x:c r="M181" s="8"/>
      <x:c r="N181" s="8"/>
      <x:c r="O181" s="8"/>
    </x:row>
    <x:row r="182">
      <x:c r="A182" s="8"/>
      <x:c r="B182" s="8"/>
      <x:c r="C182" s="8"/>
      <x:c r="D182" s="8"/>
      <x:c r="E182" s="8"/>
      <x:c r="F182" s="8"/>
      <x:c r="G182" s="8"/>
      <x:c r="H182" s="8"/>
      <x:c r="I182" s="8"/>
      <x:c r="J182" s="8"/>
      <x:c r="K182" s="8"/>
      <x:c r="L182" s="68"/>
      <x:c r="M182" s="8"/>
      <x:c r="N182" s="8"/>
      <x:c r="O182" s="8"/>
    </x:row>
    <x:row r="183">
      <x:c r="A183" s="8"/>
      <x:c r="B183" s="8"/>
      <x:c r="C183" s="8"/>
      <x:c r="D183" s="8"/>
      <x:c r="E183" s="8"/>
      <x:c r="F183" s="8"/>
      <x:c r="G183" s="8"/>
      <x:c r="H183" s="8"/>
      <x:c r="I183" s="8"/>
      <x:c r="J183" s="8"/>
      <x:c r="K183" s="8"/>
      <x:c r="L183" s="68"/>
      <x:c r="M183" s="8"/>
      <x:c r="N183" s="8"/>
      <x:c r="O183" s="8"/>
    </x:row>
    <x:row r="184">
      <x:c r="A184" s="8"/>
      <x:c r="B184" s="8"/>
      <x:c r="C184" s="8"/>
      <x:c r="D184" s="8"/>
      <x:c r="E184" s="8"/>
      <x:c r="F184" s="8"/>
      <x:c r="G184" s="8"/>
      <x:c r="H184" s="8"/>
      <x:c r="I184" s="8"/>
      <x:c r="J184" s="8"/>
      <x:c r="K184" s="8"/>
      <x:c r="L184" s="68"/>
      <x:c r="M184" s="8"/>
      <x:c r="N184" s="8"/>
      <x:c r="O184" s="8"/>
    </x:row>
    <x:row r="185">
      <x:c r="A185" s="8"/>
      <x:c r="B185" s="8"/>
      <x:c r="C185" s="8"/>
      <x:c r="D185" s="8"/>
      <x:c r="E185" s="8"/>
      <x:c r="F185" s="8"/>
      <x:c r="G185" s="8"/>
      <x:c r="H185" s="8"/>
      <x:c r="I185" s="8"/>
      <x:c r="J185" s="8"/>
      <x:c r="K185" s="8"/>
      <x:c r="L185" s="68"/>
      <x:c r="M185" s="8"/>
      <x:c r="N185" s="8"/>
      <x:c r="O185" s="8"/>
    </x:row>
    <x:row r="186">
      <x:c r="A186" s="8"/>
      <x:c r="B186" s="8"/>
      <x:c r="C186" s="8"/>
      <x:c r="D186" s="8"/>
      <x:c r="E186" s="8"/>
      <x:c r="F186" s="8"/>
      <x:c r="G186" s="8"/>
      <x:c r="H186" s="8"/>
      <x:c r="I186" s="8"/>
      <x:c r="J186" s="8"/>
      <x:c r="K186" s="8"/>
      <x:c r="L186" s="68"/>
      <x:c r="M186" s="8"/>
      <x:c r="N186" s="8"/>
      <x:c r="O186" s="8"/>
    </x:row>
    <x:row r="187">
      <x:c r="A187" s="8"/>
      <x:c r="B187" s="8"/>
      <x:c r="C187" s="8"/>
      <x:c r="D187" s="8"/>
      <x:c r="E187" s="8"/>
      <x:c r="F187" s="8"/>
      <x:c r="G187" s="8"/>
      <x:c r="H187" s="8"/>
      <x:c r="I187" s="8"/>
      <x:c r="J187" s="8"/>
      <x:c r="K187" s="8"/>
      <x:c r="L187" s="68"/>
      <x:c r="M187" s="8"/>
      <x:c r="N187" s="8"/>
      <x:c r="O187" s="8"/>
    </x:row>
    <x:row r="188">
      <x:c r="A188" s="8"/>
      <x:c r="B188" s="8"/>
      <x:c r="C188" s="8"/>
      <x:c r="D188" s="8"/>
      <x:c r="E188" s="8"/>
      <x:c r="F188" s="8"/>
      <x:c r="G188" s="8"/>
      <x:c r="H188" s="8"/>
      <x:c r="I188" s="8"/>
      <x:c r="J188" s="8"/>
      <x:c r="K188" s="8"/>
      <x:c r="L188" s="68"/>
      <x:c r="M188" s="8"/>
      <x:c r="N188" s="8"/>
      <x:c r="O188" s="8"/>
    </x:row>
    <x:row r="189">
      <x:c r="A189" s="8"/>
      <x:c r="B189" s="8"/>
      <x:c r="C189" s="8"/>
      <x:c r="D189" s="8"/>
      <x:c r="E189" s="8"/>
      <x:c r="F189" s="8"/>
      <x:c r="G189" s="8"/>
      <x:c r="H189" s="8"/>
      <x:c r="I189" s="8"/>
      <x:c r="J189" s="8"/>
      <x:c r="K189" s="8"/>
      <x:c r="L189" s="68"/>
      <x:c r="M189" s="8"/>
      <x:c r="N189" s="8"/>
      <x:c r="O189" s="8"/>
    </x:row>
    <x:row r="190">
      <x:c r="A190" s="8"/>
      <x:c r="B190" s="8"/>
      <x:c r="C190" s="8"/>
      <x:c r="D190" s="8"/>
      <x:c r="E190" s="8"/>
      <x:c r="F190" s="8"/>
      <x:c r="G190" s="8"/>
      <x:c r="H190" s="8"/>
      <x:c r="I190" s="8"/>
      <x:c r="J190" s="8"/>
      <x:c r="K190" s="8"/>
      <x:c r="L190" s="68"/>
      <x:c r="M190" s="8"/>
      <x:c r="N190" s="8"/>
      <x:c r="O190" s="8"/>
    </x:row>
    <x:row r="191">
      <x:c r="A191" s="8"/>
      <x:c r="B191" s="8"/>
      <x:c r="C191" s="8"/>
      <x:c r="D191" s="8"/>
      <x:c r="E191" s="8"/>
      <x:c r="F191" s="8"/>
      <x:c r="G191" s="8"/>
      <x:c r="H191" s="8"/>
      <x:c r="I191" s="8"/>
      <x:c r="J191" s="8"/>
      <x:c r="K191" s="8"/>
      <x:c r="L191" s="68"/>
      <x:c r="M191" s="8"/>
      <x:c r="N191" s="8"/>
      <x:c r="O191" s="8"/>
    </x:row>
    <x:row r="192">
      <x:c r="A192" s="8"/>
      <x:c r="B192" s="8"/>
      <x:c r="C192" s="8"/>
      <x:c r="D192" s="8"/>
      <x:c r="E192" s="8"/>
      <x:c r="F192" s="8"/>
      <x:c r="G192" s="8"/>
      <x:c r="H192" s="8"/>
      <x:c r="I192" s="8"/>
      <x:c r="J192" s="8"/>
      <x:c r="K192" s="8"/>
      <x:c r="L192" s="68"/>
      <x:c r="M192" s="8"/>
      <x:c r="N192" s="8"/>
      <x:c r="O192" s="8"/>
    </x:row>
    <x:row r="193">
      <x:c r="A193" s="8"/>
      <x:c r="B193" s="8"/>
      <x:c r="C193" s="8"/>
      <x:c r="D193" s="8"/>
      <x:c r="E193" s="8"/>
      <x:c r="F193" s="8"/>
      <x:c r="G193" s="8"/>
      <x:c r="H193" s="8"/>
      <x:c r="I193" s="8"/>
      <x:c r="J193" s="8"/>
      <x:c r="K193" s="8"/>
      <x:c r="L193" s="68"/>
      <x:c r="M193" s="8"/>
      <x:c r="N193" s="8"/>
      <x:c r="O193" s="8"/>
    </x:row>
    <x:row r="194">
      <x:c r="A194" s="8"/>
      <x:c r="B194" s="8"/>
      <x:c r="C194" s="8"/>
      <x:c r="D194" s="8"/>
      <x:c r="E194" s="8"/>
      <x:c r="F194" s="8"/>
      <x:c r="G194" s="8"/>
      <x:c r="H194" s="8"/>
      <x:c r="I194" s="8"/>
      <x:c r="J194" s="8"/>
      <x:c r="K194" s="8"/>
      <x:c r="L194" s="68"/>
      <x:c r="M194" s="8"/>
      <x:c r="N194" s="8"/>
      <x:c r="O194" s="8"/>
    </x:row>
    <x:row r="195">
      <x:c r="A195" s="8"/>
      <x:c r="B195" s="8"/>
      <x:c r="C195" s="8"/>
      <x:c r="D195" s="8"/>
      <x:c r="E195" s="8"/>
      <x:c r="F195" s="8"/>
      <x:c r="G195" s="8"/>
      <x:c r="H195" s="8"/>
      <x:c r="I195" s="8"/>
      <x:c r="J195" s="8"/>
      <x:c r="K195" s="8"/>
      <x:c r="L195" s="68"/>
      <x:c r="M195" s="8"/>
      <x:c r="N195" s="8"/>
      <x:c r="O195" s="8"/>
    </x:row>
    <x:row r="196">
      <x:c r="A196" s="8"/>
      <x:c r="B196" s="8"/>
      <x:c r="C196" s="8"/>
      <x:c r="D196" s="8"/>
      <x:c r="E196" s="8"/>
      <x:c r="F196" s="8"/>
      <x:c r="G196" s="8"/>
      <x:c r="H196" s="8"/>
      <x:c r="I196" s="8"/>
      <x:c r="J196" s="8"/>
      <x:c r="K196" s="8"/>
      <x:c r="L196" s="68"/>
      <x:c r="M196" s="8"/>
      <x:c r="N196" s="8"/>
      <x:c r="O196" s="8"/>
    </x:row>
    <x:row r="197">
      <x:c r="A197" s="8"/>
      <x:c r="B197" s="8"/>
      <x:c r="C197" s="8"/>
      <x:c r="D197" s="8"/>
      <x:c r="E197" s="8"/>
      <x:c r="F197" s="8"/>
      <x:c r="G197" s="8"/>
      <x:c r="H197" s="8"/>
      <x:c r="I197" s="8"/>
      <x:c r="J197" s="8"/>
      <x:c r="K197" s="8"/>
      <x:c r="L197" s="68"/>
      <x:c r="M197" s="8"/>
      <x:c r="N197" s="8"/>
      <x:c r="O197" s="8"/>
    </x:row>
    <x:row r="198">
      <x:c r="A198" s="8"/>
      <x:c r="B198" s="8"/>
      <x:c r="C198" s="8"/>
      <x:c r="D198" s="8"/>
      <x:c r="E198" s="8"/>
      <x:c r="F198" s="8"/>
      <x:c r="G198" s="8"/>
      <x:c r="H198" s="8"/>
      <x:c r="I198" s="8"/>
      <x:c r="J198" s="8"/>
      <x:c r="K198" s="8"/>
      <x:c r="L198" s="68"/>
      <x:c r="M198" s="8"/>
      <x:c r="N198" s="8"/>
      <x:c r="O198" s="8"/>
    </x:row>
    <x:row r="199">
      <x:c r="A199" s="8"/>
      <x:c r="B199" s="8"/>
      <x:c r="C199" s="8"/>
      <x:c r="D199" s="8"/>
      <x:c r="E199" s="8"/>
      <x:c r="F199" s="8"/>
      <x:c r="G199" s="8"/>
      <x:c r="H199" s="8"/>
      <x:c r="I199" s="8"/>
      <x:c r="J199" s="8"/>
      <x:c r="K199" s="8"/>
      <x:c r="L199" s="68"/>
      <x:c r="M199" s="8"/>
      <x:c r="N199" s="8"/>
      <x:c r="O199" s="8"/>
    </x:row>
    <x:row r="200">
      <x:c r="A200" s="8"/>
      <x:c r="B200" s="8"/>
      <x:c r="C200" s="8"/>
      <x:c r="D200" s="8"/>
      <x:c r="E200" s="8"/>
      <x:c r="F200" s="8"/>
      <x:c r="G200" s="8"/>
      <x:c r="H200" s="8"/>
      <x:c r="I200" s="8"/>
      <x:c r="J200" s="8"/>
      <x:c r="K200" s="8"/>
      <x:c r="L200" s="68"/>
      <x:c r="M200" s="8"/>
      <x:c r="N200" s="8"/>
      <x:c r="O200" s="8"/>
    </x:row>
    <x:row r="201">
      <x:c r="A201" s="8"/>
      <x:c r="B201" s="8"/>
      <x:c r="C201" s="8"/>
      <x:c r="D201" s="8"/>
      <x:c r="E201" s="8"/>
      <x:c r="F201" s="8"/>
      <x:c r="G201" s="8"/>
      <x:c r="H201" s="8"/>
      <x:c r="I201" s="8"/>
      <x:c r="J201" s="8"/>
      <x:c r="K201" s="8"/>
      <x:c r="L201" s="68"/>
      <x:c r="M201" s="8"/>
      <x:c r="N201" s="8"/>
      <x:c r="O201" s="8"/>
    </x:row>
    <x:row r="202">
      <x:c r="A202" s="8"/>
      <x:c r="B202" s="8"/>
      <x:c r="C202" s="8"/>
      <x:c r="D202" s="8"/>
      <x:c r="E202" s="8"/>
      <x:c r="F202" s="8"/>
      <x:c r="G202" s="8"/>
      <x:c r="H202" s="8"/>
      <x:c r="I202" s="8"/>
      <x:c r="J202" s="8"/>
      <x:c r="K202" s="8"/>
      <x:c r="L202" s="68"/>
      <x:c r="M202" s="8"/>
      <x:c r="N202" s="8"/>
      <x:c r="O202" s="8"/>
    </x:row>
    <x:row r="203">
      <x:c r="A203" s="8"/>
      <x:c r="B203" s="8"/>
      <x:c r="C203" s="8"/>
      <x:c r="D203" s="8"/>
      <x:c r="E203" s="8"/>
      <x:c r="F203" s="8"/>
      <x:c r="G203" s="8"/>
      <x:c r="H203" s="8"/>
      <x:c r="I203" s="8"/>
      <x:c r="J203" s="8"/>
      <x:c r="K203" s="8"/>
      <x:c r="L203" s="68"/>
      <x:c r="M203" s="8"/>
      <x:c r="N203" s="8"/>
      <x:c r="O203" s="8"/>
    </x:row>
    <x:row r="204">
      <x:c r="A204" s="8"/>
      <x:c r="B204" s="8"/>
      <x:c r="C204" s="8"/>
      <x:c r="D204" s="8"/>
      <x:c r="E204" s="8"/>
      <x:c r="F204" s="8"/>
      <x:c r="G204" s="8"/>
      <x:c r="H204" s="8"/>
      <x:c r="I204" s="8"/>
      <x:c r="J204" s="8"/>
      <x:c r="K204" s="8"/>
      <x:c r="L204" s="68"/>
      <x:c r="M204" s="8"/>
      <x:c r="N204" s="8"/>
      <x:c r="O204" s="8"/>
    </x:row>
  </x:sheetData>
  <x:mergeCells>
    <x:mergeCell ref="A1:O1"/>
    <x:mergeCell ref="A2:O2"/>
  </x:mergeCells>
  <x:dataValidations count="3">
    <x:dataValidation type="list" sqref="E5:E204">
      <x:formula1>"Critical,High,Moderate,Low"</x:formula1>
    </x:dataValidation>
    <x:dataValidation type="list" sqref="F5:F204">
      <x:formula1>"P0,P1,P2,P3"</x:formula1>
    </x:dataValidation>
    <x:dataValidation type="list" sqref="M5:M204">
      <x:formula1>"Open,Planned,In progress,Blocked,Closed,Accepted risk"</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18" hidden="0" customWidth="1"/>
    <x:col min="4" max="4" width="28" hidden="0" customWidth="1"/>
    <x:col min="5" max="5" width="20" hidden="0" customWidth="1"/>
    <x:col min="6" max="6" width="38" hidden="0" customWidth="1"/>
    <x:col min="7" max="7" width="38" hidden="0" customWidth="1"/>
    <x:col min="8" max="8" width="20" hidden="0" customWidth="1"/>
    <x:col min="9" max="9" width="14" hidden="0" customWidth="1"/>
    <x:col min="10" max="10" width="14" hidden="0" customWidth="1"/>
    <x:col min="11" max="11" width="14" hidden="0" customWidth="1"/>
    <x:col min="12" max="12" width="16" hidden="0" customWidth="1"/>
    <x:col min="13" max="13" width="16" hidden="0" customWidth="1"/>
  </x:cols>
  <x:sheetData>
    <x:row r="1" ht="28" customHeight="1">
      <x:c r="A1" s="3" t="str">
        <x:v>Applicability, Equivalent Controls, and Temporary Waivers</x:v>
      </x:c>
      <x:c r="B1" s="3" t="str">
        <x:v>Applicability, Equivalent Controls, and Temporary Waivers</x:v>
      </x:c>
      <x:c r="C1" s="3" t="str">
        <x:v>Applicability, Equivalent Controls, and Temporary Waivers</x:v>
      </x:c>
      <x:c r="D1" s="3" t="str">
        <x:v>Applicability, Equivalent Controls, and Temporary Waivers</x:v>
      </x:c>
      <x:c r="E1" s="3" t="str">
        <x:v>Applicability, Equivalent Controls, and Temporary Waivers</x:v>
      </x:c>
      <x:c r="F1" s="3" t="str">
        <x:v>Applicability, Equivalent Controls, and Temporary Waivers</x:v>
      </x:c>
      <x:c r="G1" s="3" t="str">
        <x:v>Applicability, Equivalent Controls, and Temporary Waivers</x:v>
      </x:c>
      <x:c r="H1" s="3" t="str">
        <x:v>Applicability, Equivalent Controls, and Temporary Waivers</x:v>
      </x:c>
      <x:c r="I1" s="3" t="str">
        <x:v>Applicability, Equivalent Controls, and Temporary Waivers</x:v>
      </x:c>
      <x:c r="J1" s="3" t="str">
        <x:v>Applicability, Equivalent Controls, and Temporary Waivers</x:v>
      </x:c>
      <x:c r="K1" s="3" t="str">
        <x:v>Applicability, Equivalent Controls, and Temporary Waivers</x:v>
      </x:c>
      <x:c r="L1" s="3" t="str">
        <x:v>Applicability, Equivalent Controls, and Temporary Waivers</x:v>
      </x:c>
      <x:c r="M1" s="3" t="str">
        <x:v>Applicability, Equivalent Controls, and Temporary Waivers</x:v>
      </x:c>
    </x:row>
    <x:row r="2" ht="30" customHeight="1">
      <x:c r="A2" s="7" t="str">
        <x:v>Temporary waivers default to 90 days. Baseline may be approved up to 180 days; Elevated and Critical may not exceed 90 days. The formula uses Profile risk tier; a higher-tier affected unit must use the stricter 90-day maximum and be named in Scope.</x:v>
      </x:c>
      <x:c r="B2" s="7" t="str">
        <x:v>Temporary waivers default to 90 days. Baseline may be approved up to 180 days; Elevated and Critical may not exceed 90 days. The formula uses Profile risk tier; a higher-tier affected unit must use the stricter 90-day maximum and be named in Scope.</x:v>
      </x:c>
      <x:c r="C2" s="7" t="str">
        <x:v>Temporary waivers default to 90 days. Baseline may be approved up to 180 days; Elevated and Critical may not exceed 90 days. The formula uses Profile risk tier; a higher-tier affected unit must use the stricter 90-day maximum and be named in Scope.</x:v>
      </x:c>
      <x:c r="D2" s="7" t="str">
        <x:v>Temporary waivers default to 90 days. Baseline may be approved up to 180 days; Elevated and Critical may not exceed 90 days. The formula uses Profile risk tier; a higher-tier affected unit must use the stricter 90-day maximum and be named in Scope.</x:v>
      </x:c>
      <x:c r="E2" s="7" t="str">
        <x:v>Temporary waivers default to 90 days. Baseline may be approved up to 180 days; Elevated and Critical may not exceed 90 days. The formula uses Profile risk tier; a higher-tier affected unit must use the stricter 90-day maximum and be named in Scope.</x:v>
      </x:c>
      <x:c r="F2" s="7" t="str">
        <x:v>Temporary waivers default to 90 days. Baseline may be approved up to 180 days; Elevated and Critical may not exceed 90 days. The formula uses Profile risk tier; a higher-tier affected unit must use the stricter 90-day maximum and be named in Scope.</x:v>
      </x:c>
      <x:c r="G2" s="7" t="str">
        <x:v>Temporary waivers default to 90 days. Baseline may be approved up to 180 days; Elevated and Critical may not exceed 90 days. The formula uses Profile risk tier; a higher-tier affected unit must use the stricter 90-day maximum and be named in Scope.</x:v>
      </x:c>
      <x:c r="H2" s="7" t="str">
        <x:v>Temporary waivers default to 90 days. Baseline may be approved up to 180 days; Elevated and Critical may not exceed 90 days. The formula uses Profile risk tier; a higher-tier affected unit must use the stricter 90-day maximum and be named in Scope.</x:v>
      </x:c>
      <x:c r="I2" s="7" t="str">
        <x:v>Temporary waivers default to 90 days. Baseline may be approved up to 180 days; Elevated and Critical may not exceed 90 days. The formula uses Profile risk tier; a higher-tier affected unit must use the stricter 90-day maximum and be named in Scope.</x:v>
      </x:c>
      <x:c r="J2" s="7" t="str">
        <x:v>Temporary waivers default to 90 days. Baseline may be approved up to 180 days; Elevated and Critical may not exceed 90 days. The formula uses Profile risk tier; a higher-tier affected unit must use the stricter 90-day maximum and be named in Scope.</x:v>
      </x:c>
      <x:c r="K2" s="7" t="str">
        <x:v>Temporary waivers default to 90 days. Baseline may be approved up to 180 days; Elevated and Critical may not exceed 90 days. The formula uses Profile risk tier; a higher-tier affected unit must use the stricter 90-day maximum and be named in Scope.</x:v>
      </x:c>
      <x:c r="L2" s="7" t="str">
        <x:v>Temporary waivers default to 90 days. Baseline may be approved up to 180 days; Elevated and Critical may not exceed 90 days. The formula uses Profile risk tier; a higher-tier affected unit must use the stricter 90-day maximum and be named in Scope.</x:v>
      </x:c>
      <x:c r="M2" s="7" t="str">
        <x:v>Temporary waivers default to 90 days. Baseline may be approved up to 180 days; Elevated and Critical may not exceed 90 days. The formula uses Profile risk tier; a higher-tier affected unit must use the stricter 90-day maximum and be named in Scope.</x:v>
      </x:c>
    </x:row>
    <x:row r="4" ht="30" customHeight="1">
      <x:c r="A4" s="24" t="str">
        <x:v>Exception ID</x:v>
      </x:c>
      <x:c r="B4" s="24" t="str">
        <x:v>Type</x:v>
      </x:c>
      <x:c r="C4" s="24" t="str">
        <x:v>Control IDs</x:v>
      </x:c>
      <x:c r="D4" s="24" t="str">
        <x:v>Scope</x:v>
      </x:c>
      <x:c r="E4" s="24" t="str">
        <x:v>Risk owner</x:v>
      </x:c>
      <x:c r="F4" s="24" t="str">
        <x:v>Rationale</x:v>
      </x:c>
      <x:c r="G4" s="24" t="str">
        <x:v>Compensating control</x:v>
      </x:c>
      <x:c r="H4" s="24" t="str">
        <x:v>Approver</x:v>
      </x:c>
      <x:c r="I4" s="24" t="str">
        <x:v>Approved at</x:v>
      </x:c>
      <x:c r="J4" s="24" t="str">
        <x:v>Expires at</x:v>
      </x:c>
      <x:c r="K4" s="24" t="str">
        <x:v>Review date</x:v>
      </x:c>
      <x:c r="L4" s="24" t="str">
        <x:v>Recorded status</x:v>
      </x:c>
      <x:c r="M4" s="24" t="str">
        <x:v>Calculated state</x:v>
      </x:c>
    </x:row>
    <x:row r="5">
      <x:c r="A5" s="53"/>
      <x:c r="B5" s="53"/>
      <x:c r="C5" s="53"/>
      <x:c r="D5" s="53"/>
      <x:c r="E5" s="53"/>
      <x:c r="F5" s="53"/>
      <x:c r="G5" s="53"/>
      <x:c r="H5" s="53"/>
      <x:c r="I5" s="67"/>
      <x:c r="J5" s="67"/>
      <x:c r="K5" s="67"/>
      <x:c r="L5" s="53"/>
      <x:c r="M5" s="25" t="str">
        <x:f>IF($A5="","",IF(OR($L5="Closed",$L5="Revoked"),$L5,IF($B5&lt;&gt;"Temporary waiver",$L5,IF($I5="","Missing approval date",IF($J5="","Missing expiry",IF($J5&lt;=$I5,"Invalid dates",IF($J5-$I5&gt;IF('Profile'!$B$11="Baseline",180,90),IF($J5&lt;TODAY(),"Expired / over maximum","Over maximum"),IF($J5&lt;TODAY(),"Expired",$L5))))))))</x:f>
      </x:c>
    </x:row>
    <x:row r="6">
      <x:c r="A6" s="53"/>
      <x:c r="B6" s="53"/>
      <x:c r="C6" s="53"/>
      <x:c r="D6" s="53"/>
      <x:c r="E6" s="53"/>
      <x:c r="F6" s="53"/>
      <x:c r="G6" s="53"/>
      <x:c r="H6" s="53"/>
      <x:c r="I6" s="67"/>
      <x:c r="J6" s="67"/>
      <x:c r="K6" s="67"/>
      <x:c r="L6" s="53"/>
      <x:c r="M6" s="25" t="str">
        <x:f>IF($A6="","",IF(OR($L6="Closed",$L6="Revoked"),$L6,IF($B6&lt;&gt;"Temporary waiver",$L6,IF($I6="","Missing approval date",IF($J6="","Missing expiry",IF($J6&lt;=$I6,"Invalid dates",IF($J6-$I6&gt;IF('Profile'!$B$11="Baseline",180,90),IF($J6&lt;TODAY(),"Expired / over maximum","Over maximum"),IF($J6&lt;TODAY(),"Expired",$L6))))))))</x:f>
      </x:c>
    </x:row>
    <x:row r="7">
      <x:c r="A7" s="53"/>
      <x:c r="B7" s="53"/>
      <x:c r="C7" s="53"/>
      <x:c r="D7" s="53"/>
      <x:c r="E7" s="53"/>
      <x:c r="F7" s="53"/>
      <x:c r="G7" s="53"/>
      <x:c r="H7" s="53"/>
      <x:c r="I7" s="67"/>
      <x:c r="J7" s="67"/>
      <x:c r="K7" s="67"/>
      <x:c r="L7" s="53"/>
      <x:c r="M7" s="25" t="str">
        <x:f>IF($A7="","",IF(OR($L7="Closed",$L7="Revoked"),$L7,IF($B7&lt;&gt;"Temporary waiver",$L7,IF($I7="","Missing approval date",IF($J7="","Missing expiry",IF($J7&lt;=$I7,"Invalid dates",IF($J7-$I7&gt;IF('Profile'!$B$11="Baseline",180,90),IF($J7&lt;TODAY(),"Expired / over maximum","Over maximum"),IF($J7&lt;TODAY(),"Expired",$L7))))))))</x:f>
      </x:c>
    </x:row>
    <x:row r="8">
      <x:c r="A8" s="53"/>
      <x:c r="B8" s="53"/>
      <x:c r="C8" s="53"/>
      <x:c r="D8" s="53"/>
      <x:c r="E8" s="53"/>
      <x:c r="F8" s="53"/>
      <x:c r="G8" s="53"/>
      <x:c r="H8" s="53"/>
      <x:c r="I8" s="67"/>
      <x:c r="J8" s="67"/>
      <x:c r="K8" s="67"/>
      <x:c r="L8" s="53"/>
      <x:c r="M8" s="25" t="str">
        <x:f>IF($A8="","",IF(OR($L8="Closed",$L8="Revoked"),$L8,IF($B8&lt;&gt;"Temporary waiver",$L8,IF($I8="","Missing approval date",IF($J8="","Missing expiry",IF($J8&lt;=$I8,"Invalid dates",IF($J8-$I8&gt;IF('Profile'!$B$11="Baseline",180,90),IF($J8&lt;TODAY(),"Expired / over maximum","Over maximum"),IF($J8&lt;TODAY(),"Expired",$L8))))))))</x:f>
      </x:c>
    </x:row>
    <x:row r="9">
      <x:c r="A9" s="53"/>
      <x:c r="B9" s="53"/>
      <x:c r="C9" s="53"/>
      <x:c r="D9" s="53"/>
      <x:c r="E9" s="53"/>
      <x:c r="F9" s="53"/>
      <x:c r="G9" s="53"/>
      <x:c r="H9" s="53"/>
      <x:c r="I9" s="67"/>
      <x:c r="J9" s="67"/>
      <x:c r="K9" s="67"/>
      <x:c r="L9" s="53"/>
      <x:c r="M9" s="25" t="str">
        <x:f>IF($A9="","",IF(OR($L9="Closed",$L9="Revoked"),$L9,IF($B9&lt;&gt;"Temporary waiver",$L9,IF($I9="","Missing approval date",IF($J9="","Missing expiry",IF($J9&lt;=$I9,"Invalid dates",IF($J9-$I9&gt;IF('Profile'!$B$11="Baseline",180,90),IF($J9&lt;TODAY(),"Expired / over maximum","Over maximum"),IF($J9&lt;TODAY(),"Expired",$L9))))))))</x:f>
      </x:c>
    </x:row>
    <x:row r="10">
      <x:c r="A10" s="53"/>
      <x:c r="B10" s="53"/>
      <x:c r="C10" s="53"/>
      <x:c r="D10" s="53"/>
      <x:c r="E10" s="53"/>
      <x:c r="F10" s="53"/>
      <x:c r="G10" s="53"/>
      <x:c r="H10" s="53"/>
      <x:c r="I10" s="67"/>
      <x:c r="J10" s="67"/>
      <x:c r="K10" s="67"/>
      <x:c r="L10" s="53"/>
      <x:c r="M10" s="25" t="str">
        <x:f>IF($A10="","",IF(OR($L10="Closed",$L10="Revoked"),$L10,IF($B10&lt;&gt;"Temporary waiver",$L10,IF($I10="","Missing approval date",IF($J10="","Missing expiry",IF($J10&lt;=$I10,"Invalid dates",IF($J10-$I10&gt;IF('Profile'!$B$11="Baseline",180,90),IF($J10&lt;TODAY(),"Expired / over maximum","Over maximum"),IF($J10&lt;TODAY(),"Expired",$L10))))))))</x:f>
      </x:c>
    </x:row>
    <x:row r="11">
      <x:c r="A11" s="53"/>
      <x:c r="B11" s="53"/>
      <x:c r="C11" s="53"/>
      <x:c r="D11" s="53"/>
      <x:c r="E11" s="53"/>
      <x:c r="F11" s="53"/>
      <x:c r="G11" s="53"/>
      <x:c r="H11" s="53"/>
      <x:c r="I11" s="67"/>
      <x:c r="J11" s="67"/>
      <x:c r="K11" s="67"/>
      <x:c r="L11" s="53"/>
      <x:c r="M11" s="25" t="str">
        <x:f>IF($A11="","",IF(OR($L11="Closed",$L11="Revoked"),$L11,IF($B11&lt;&gt;"Temporary waiver",$L11,IF($I11="","Missing approval date",IF($J11="","Missing expiry",IF($J11&lt;=$I11,"Invalid dates",IF($J11-$I11&gt;IF('Profile'!$B$11="Baseline",180,90),IF($J11&lt;TODAY(),"Expired / over maximum","Over maximum"),IF($J11&lt;TODAY(),"Expired",$L11))))))))</x:f>
      </x:c>
    </x:row>
    <x:row r="12">
      <x:c r="A12" s="53"/>
      <x:c r="B12" s="53"/>
      <x:c r="C12" s="53"/>
      <x:c r="D12" s="53"/>
      <x:c r="E12" s="53"/>
      <x:c r="F12" s="53"/>
      <x:c r="G12" s="53"/>
      <x:c r="H12" s="53"/>
      <x:c r="I12" s="67"/>
      <x:c r="J12" s="67"/>
      <x:c r="K12" s="67"/>
      <x:c r="L12" s="53"/>
      <x:c r="M12" s="25" t="str">
        <x:f>IF($A12="","",IF(OR($L12="Closed",$L12="Revoked"),$L12,IF($B12&lt;&gt;"Temporary waiver",$L12,IF($I12="","Missing approval date",IF($J12="","Missing expiry",IF($J12&lt;=$I12,"Invalid dates",IF($J12-$I12&gt;IF('Profile'!$B$11="Baseline",180,90),IF($J12&lt;TODAY(),"Expired / over maximum","Over maximum"),IF($J12&lt;TODAY(),"Expired",$L12))))))))</x:f>
      </x:c>
    </x:row>
    <x:row r="13">
      <x:c r="A13" s="53"/>
      <x:c r="B13" s="53"/>
      <x:c r="C13" s="53"/>
      <x:c r="D13" s="53"/>
      <x:c r="E13" s="53"/>
      <x:c r="F13" s="53"/>
      <x:c r="G13" s="53"/>
      <x:c r="H13" s="53"/>
      <x:c r="I13" s="67"/>
      <x:c r="J13" s="67"/>
      <x:c r="K13" s="67"/>
      <x:c r="L13" s="53"/>
      <x:c r="M13" s="25" t="str">
        <x:f>IF($A13="","",IF(OR($L13="Closed",$L13="Revoked"),$L13,IF($B13&lt;&gt;"Temporary waiver",$L13,IF($I13="","Missing approval date",IF($J13="","Missing expiry",IF($J13&lt;=$I13,"Invalid dates",IF($J13-$I13&gt;IF('Profile'!$B$11="Baseline",180,90),IF($J13&lt;TODAY(),"Expired / over maximum","Over maximum"),IF($J13&lt;TODAY(),"Expired",$L13))))))))</x:f>
      </x:c>
    </x:row>
    <x:row r="14">
      <x:c r="A14" s="53"/>
      <x:c r="B14" s="53"/>
      <x:c r="C14" s="53"/>
      <x:c r="D14" s="53"/>
      <x:c r="E14" s="53"/>
      <x:c r="F14" s="53"/>
      <x:c r="G14" s="53"/>
      <x:c r="H14" s="53"/>
      <x:c r="I14" s="67"/>
      <x:c r="J14" s="67"/>
      <x:c r="K14" s="67"/>
      <x:c r="L14" s="53"/>
      <x:c r="M14" s="25" t="str">
        <x:f>IF($A14="","",IF(OR($L14="Closed",$L14="Revoked"),$L14,IF($B14&lt;&gt;"Temporary waiver",$L14,IF($I14="","Missing approval date",IF($J14="","Missing expiry",IF($J14&lt;=$I14,"Invalid dates",IF($J14-$I14&gt;IF('Profile'!$B$11="Baseline",180,90),IF($J14&lt;TODAY(),"Expired / over maximum","Over maximum"),IF($J14&lt;TODAY(),"Expired",$L14))))))))</x:f>
      </x:c>
    </x:row>
    <x:row r="15">
      <x:c r="A15" s="53"/>
      <x:c r="B15" s="53"/>
      <x:c r="C15" s="53"/>
      <x:c r="D15" s="53"/>
      <x:c r="E15" s="53"/>
      <x:c r="F15" s="53"/>
      <x:c r="G15" s="53"/>
      <x:c r="H15" s="53"/>
      <x:c r="I15" s="67"/>
      <x:c r="J15" s="67"/>
      <x:c r="K15" s="67"/>
      <x:c r="L15" s="53"/>
      <x:c r="M15" s="25" t="str">
        <x:f>IF($A15="","",IF(OR($L15="Closed",$L15="Revoked"),$L15,IF($B15&lt;&gt;"Temporary waiver",$L15,IF($I15="","Missing approval date",IF($J15="","Missing expiry",IF($J15&lt;=$I15,"Invalid dates",IF($J15-$I15&gt;IF('Profile'!$B$11="Baseline",180,90),IF($J15&lt;TODAY(),"Expired / over maximum","Over maximum"),IF($J15&lt;TODAY(),"Expired",$L15))))))))</x:f>
      </x:c>
    </x:row>
    <x:row r="16">
      <x:c r="A16" s="53"/>
      <x:c r="B16" s="53"/>
      <x:c r="C16" s="53"/>
      <x:c r="D16" s="53"/>
      <x:c r="E16" s="53"/>
      <x:c r="F16" s="53"/>
      <x:c r="G16" s="53"/>
      <x:c r="H16" s="53"/>
      <x:c r="I16" s="67"/>
      <x:c r="J16" s="67"/>
      <x:c r="K16" s="67"/>
      <x:c r="L16" s="53"/>
      <x:c r="M16" s="25" t="str">
        <x:f>IF($A16="","",IF(OR($L16="Closed",$L16="Revoked"),$L16,IF($B16&lt;&gt;"Temporary waiver",$L16,IF($I16="","Missing approval date",IF($J16="","Missing expiry",IF($J16&lt;=$I16,"Invalid dates",IF($J16-$I16&gt;IF('Profile'!$B$11="Baseline",180,90),IF($J16&lt;TODAY(),"Expired / over maximum","Over maximum"),IF($J16&lt;TODAY(),"Expired",$L16))))))))</x:f>
      </x:c>
    </x:row>
    <x:row r="17">
      <x:c r="A17" s="53"/>
      <x:c r="B17" s="53"/>
      <x:c r="C17" s="53"/>
      <x:c r="D17" s="53"/>
      <x:c r="E17" s="53"/>
      <x:c r="F17" s="53"/>
      <x:c r="G17" s="53"/>
      <x:c r="H17" s="53"/>
      <x:c r="I17" s="67"/>
      <x:c r="J17" s="67"/>
      <x:c r="K17" s="67"/>
      <x:c r="L17" s="53"/>
      <x:c r="M17" s="25" t="str">
        <x:f>IF($A17="","",IF(OR($L17="Closed",$L17="Revoked"),$L17,IF($B17&lt;&gt;"Temporary waiver",$L17,IF($I17="","Missing approval date",IF($J17="","Missing expiry",IF($J17&lt;=$I17,"Invalid dates",IF($J17-$I17&gt;IF('Profile'!$B$11="Baseline",180,90),IF($J17&lt;TODAY(),"Expired / over maximum","Over maximum"),IF($J17&lt;TODAY(),"Expired",$L17))))))))</x:f>
      </x:c>
    </x:row>
    <x:row r="18">
      <x:c r="A18" s="53"/>
      <x:c r="B18" s="53"/>
      <x:c r="C18" s="53"/>
      <x:c r="D18" s="53"/>
      <x:c r="E18" s="53"/>
      <x:c r="F18" s="53"/>
      <x:c r="G18" s="53"/>
      <x:c r="H18" s="53"/>
      <x:c r="I18" s="67"/>
      <x:c r="J18" s="67"/>
      <x:c r="K18" s="67"/>
      <x:c r="L18" s="53"/>
      <x:c r="M18" s="25" t="str">
        <x:f>IF($A18="","",IF(OR($L18="Closed",$L18="Revoked"),$L18,IF($B18&lt;&gt;"Temporary waiver",$L18,IF($I18="","Missing approval date",IF($J18="","Missing expiry",IF($J18&lt;=$I18,"Invalid dates",IF($J18-$I18&gt;IF('Profile'!$B$11="Baseline",180,90),IF($J18&lt;TODAY(),"Expired / over maximum","Over maximum"),IF($J18&lt;TODAY(),"Expired",$L18))))))))</x:f>
      </x:c>
    </x:row>
    <x:row r="19">
      <x:c r="A19" s="8"/>
      <x:c r="B19" s="8"/>
      <x:c r="C19" s="8"/>
      <x:c r="D19" s="8"/>
      <x:c r="E19" s="8"/>
      <x:c r="F19" s="8"/>
      <x:c r="G19" s="8"/>
      <x:c r="H19" s="8"/>
      <x:c r="I19" s="68"/>
      <x:c r="J19" s="68"/>
      <x:c r="K19" s="68"/>
      <x:c r="L19" s="8"/>
      <x:c r="M19" t="str">
        <x:f>IF($A19="","",IF(OR($L19="Closed",$L19="Revoked"),$L19,IF($B19&lt;&gt;"Temporary waiver",$L19,IF($I19="","Missing approval date",IF($J19="","Missing expiry",IF($J19&lt;=$I19,"Invalid dates",IF($J19-$I19&gt;IF('Profile'!$B$11="Baseline",180,90),IF($J19&lt;TODAY(),"Expired / over maximum","Over maximum"),IF($J19&lt;TODAY(),"Expired",$L19))))))))</x:f>
      </x:c>
    </x:row>
    <x:row r="20">
      <x:c r="A20" s="8"/>
      <x:c r="B20" s="8"/>
      <x:c r="C20" s="8"/>
      <x:c r="D20" s="8"/>
      <x:c r="E20" s="8"/>
      <x:c r="F20" s="8"/>
      <x:c r="G20" s="8"/>
      <x:c r="H20" s="8"/>
      <x:c r="I20" s="68"/>
      <x:c r="J20" s="68"/>
      <x:c r="K20" s="68"/>
      <x:c r="L20" s="8"/>
      <x:c r="M20" t="str">
        <x:f>IF($A20="","",IF(OR($L20="Closed",$L20="Revoked"),$L20,IF($B20&lt;&gt;"Temporary waiver",$L20,IF($I20="","Missing approval date",IF($J20="","Missing expiry",IF($J20&lt;=$I20,"Invalid dates",IF($J20-$I20&gt;IF('Profile'!$B$11="Baseline",180,90),IF($J20&lt;TODAY(),"Expired / over maximum","Over maximum"),IF($J20&lt;TODAY(),"Expired",$L20))))))))</x:f>
      </x:c>
    </x:row>
    <x:row r="21">
      <x:c r="A21" s="8"/>
      <x:c r="B21" s="8"/>
      <x:c r="C21" s="8"/>
      <x:c r="D21" s="8"/>
      <x:c r="E21" s="8"/>
      <x:c r="F21" s="8"/>
      <x:c r="G21" s="8"/>
      <x:c r="H21" s="8"/>
      <x:c r="I21" s="68"/>
      <x:c r="J21" s="68"/>
      <x:c r="K21" s="68"/>
      <x:c r="L21" s="8"/>
      <x:c r="M21" t="str">
        <x:f>IF($A21="","",IF(OR($L21="Closed",$L21="Revoked"),$L21,IF($B21&lt;&gt;"Temporary waiver",$L21,IF($I21="","Missing approval date",IF($J21="","Missing expiry",IF($J21&lt;=$I21,"Invalid dates",IF($J21-$I21&gt;IF('Profile'!$B$11="Baseline",180,90),IF($J21&lt;TODAY(),"Expired / over maximum","Over maximum"),IF($J21&lt;TODAY(),"Expired",$L21))))))))</x:f>
      </x:c>
    </x:row>
    <x:row r="22">
      <x:c r="A22" s="8"/>
      <x:c r="B22" s="8"/>
      <x:c r="C22" s="8"/>
      <x:c r="D22" s="8"/>
      <x:c r="E22" s="8"/>
      <x:c r="F22" s="8"/>
      <x:c r="G22" s="8"/>
      <x:c r="H22" s="8"/>
      <x:c r="I22" s="68"/>
      <x:c r="J22" s="68"/>
      <x:c r="K22" s="68"/>
      <x:c r="L22" s="8"/>
      <x:c r="M22" t="str">
        <x:f>IF($A22="","",IF(OR($L22="Closed",$L22="Revoked"),$L22,IF($B22&lt;&gt;"Temporary waiver",$L22,IF($I22="","Missing approval date",IF($J22="","Missing expiry",IF($J22&lt;=$I22,"Invalid dates",IF($J22-$I22&gt;IF('Profile'!$B$11="Baseline",180,90),IF($J22&lt;TODAY(),"Expired / over maximum","Over maximum"),IF($J22&lt;TODAY(),"Expired",$L22))))))))</x:f>
      </x:c>
    </x:row>
    <x:row r="23">
      <x:c r="A23" s="8"/>
      <x:c r="B23" s="8"/>
      <x:c r="C23" s="8"/>
      <x:c r="D23" s="8"/>
      <x:c r="E23" s="8"/>
      <x:c r="F23" s="8"/>
      <x:c r="G23" s="8"/>
      <x:c r="H23" s="8"/>
      <x:c r="I23" s="68"/>
      <x:c r="J23" s="68"/>
      <x:c r="K23" s="68"/>
      <x:c r="L23" s="8"/>
      <x:c r="M23" t="str">
        <x:f>IF($A23="","",IF(OR($L23="Closed",$L23="Revoked"),$L23,IF($B23&lt;&gt;"Temporary waiver",$L23,IF($I23="","Missing approval date",IF($J23="","Missing expiry",IF($J23&lt;=$I23,"Invalid dates",IF($J23-$I23&gt;IF('Profile'!$B$11="Baseline",180,90),IF($J23&lt;TODAY(),"Expired / over maximum","Over maximum"),IF($J23&lt;TODAY(),"Expired",$L23))))))))</x:f>
      </x:c>
    </x:row>
    <x:row r="24">
      <x:c r="A24" s="8"/>
      <x:c r="B24" s="8"/>
      <x:c r="C24" s="8"/>
      <x:c r="D24" s="8"/>
      <x:c r="E24" s="8"/>
      <x:c r="F24" s="8"/>
      <x:c r="G24" s="8"/>
      <x:c r="H24" s="8"/>
      <x:c r="I24" s="68"/>
      <x:c r="J24" s="68"/>
      <x:c r="K24" s="68"/>
      <x:c r="L24" s="8"/>
      <x:c r="M24" t="str">
        <x:f>IF($A24="","",IF(OR($L24="Closed",$L24="Revoked"),$L24,IF($B24&lt;&gt;"Temporary waiver",$L24,IF($I24="","Missing approval date",IF($J24="","Missing expiry",IF($J24&lt;=$I24,"Invalid dates",IF($J24-$I24&gt;IF('Profile'!$B$11="Baseline",180,90),IF($J24&lt;TODAY(),"Expired / over maximum","Over maximum"),IF($J24&lt;TODAY(),"Expired",$L24))))))))</x:f>
      </x:c>
    </x:row>
    <x:row r="25">
      <x:c r="A25" s="8"/>
      <x:c r="B25" s="8"/>
      <x:c r="C25" s="8"/>
      <x:c r="D25" s="8"/>
      <x:c r="E25" s="8"/>
      <x:c r="F25" s="8"/>
      <x:c r="G25" s="8"/>
      <x:c r="H25" s="8"/>
      <x:c r="I25" s="68"/>
      <x:c r="J25" s="68"/>
      <x:c r="K25" s="68"/>
      <x:c r="L25" s="8"/>
      <x:c r="M25" t="str">
        <x:f>IF($A25="","",IF(OR($L25="Closed",$L25="Revoked"),$L25,IF($B25&lt;&gt;"Temporary waiver",$L25,IF($I25="","Missing approval date",IF($J25="","Missing expiry",IF($J25&lt;=$I25,"Invalid dates",IF($J25-$I25&gt;IF('Profile'!$B$11="Baseline",180,90),IF($J25&lt;TODAY(),"Expired / over maximum","Over maximum"),IF($J25&lt;TODAY(),"Expired",$L25))))))))</x:f>
      </x:c>
    </x:row>
    <x:row r="26">
      <x:c r="A26" s="8"/>
      <x:c r="B26" s="8"/>
      <x:c r="C26" s="8"/>
      <x:c r="D26" s="8"/>
      <x:c r="E26" s="8"/>
      <x:c r="F26" s="8"/>
      <x:c r="G26" s="8"/>
      <x:c r="H26" s="8"/>
      <x:c r="I26" s="68"/>
      <x:c r="J26" s="68"/>
      <x:c r="K26" s="68"/>
      <x:c r="L26" s="8"/>
      <x:c r="M26" t="str">
        <x:f>IF($A26="","",IF(OR($L26="Closed",$L26="Revoked"),$L26,IF($B26&lt;&gt;"Temporary waiver",$L26,IF($I26="","Missing approval date",IF($J26="","Missing expiry",IF($J26&lt;=$I26,"Invalid dates",IF($J26-$I26&gt;IF('Profile'!$B$11="Baseline",180,90),IF($J26&lt;TODAY(),"Expired / over maximum","Over maximum"),IF($J26&lt;TODAY(),"Expired",$L26))))))))</x:f>
      </x:c>
    </x:row>
    <x:row r="27">
      <x:c r="A27" s="8"/>
      <x:c r="B27" s="8"/>
      <x:c r="C27" s="8"/>
      <x:c r="D27" s="8"/>
      <x:c r="E27" s="8"/>
      <x:c r="F27" s="8"/>
      <x:c r="G27" s="8"/>
      <x:c r="H27" s="8"/>
      <x:c r="I27" s="68"/>
      <x:c r="J27" s="68"/>
      <x:c r="K27" s="68"/>
      <x:c r="L27" s="8"/>
      <x:c r="M27" t="str">
        <x:f>IF($A27="","",IF(OR($L27="Closed",$L27="Revoked"),$L27,IF($B27&lt;&gt;"Temporary waiver",$L27,IF($I27="","Missing approval date",IF($J27="","Missing expiry",IF($J27&lt;=$I27,"Invalid dates",IF($J27-$I27&gt;IF('Profile'!$B$11="Baseline",180,90),IF($J27&lt;TODAY(),"Expired / over maximum","Over maximum"),IF($J27&lt;TODAY(),"Expired",$L27))))))))</x:f>
      </x:c>
    </x:row>
    <x:row r="28">
      <x:c r="A28" s="8"/>
      <x:c r="B28" s="8"/>
      <x:c r="C28" s="8"/>
      <x:c r="D28" s="8"/>
      <x:c r="E28" s="8"/>
      <x:c r="F28" s="8"/>
      <x:c r="G28" s="8"/>
      <x:c r="H28" s="8"/>
      <x:c r="I28" s="68"/>
      <x:c r="J28" s="68"/>
      <x:c r="K28" s="68"/>
      <x:c r="L28" s="8"/>
      <x:c r="M28" t="str">
        <x:f>IF($A28="","",IF(OR($L28="Closed",$L28="Revoked"),$L28,IF($B28&lt;&gt;"Temporary waiver",$L28,IF($I28="","Missing approval date",IF($J28="","Missing expiry",IF($J28&lt;=$I28,"Invalid dates",IF($J28-$I28&gt;IF('Profile'!$B$11="Baseline",180,90),IF($J28&lt;TODAY(),"Expired / over maximum","Over maximum"),IF($J28&lt;TODAY(),"Expired",$L28))))))))</x:f>
      </x:c>
    </x:row>
    <x:row r="29">
      <x:c r="A29" s="8"/>
      <x:c r="B29" s="8"/>
      <x:c r="C29" s="8"/>
      <x:c r="D29" s="8"/>
      <x:c r="E29" s="8"/>
      <x:c r="F29" s="8"/>
      <x:c r="G29" s="8"/>
      <x:c r="H29" s="8"/>
      <x:c r="I29" s="68"/>
      <x:c r="J29" s="68"/>
      <x:c r="K29" s="68"/>
      <x:c r="L29" s="8"/>
      <x:c r="M29" t="str">
        <x:f>IF($A29="","",IF(OR($L29="Closed",$L29="Revoked"),$L29,IF($B29&lt;&gt;"Temporary waiver",$L29,IF($I29="","Missing approval date",IF($J29="","Missing expiry",IF($J29&lt;=$I29,"Invalid dates",IF($J29-$I29&gt;IF('Profile'!$B$11="Baseline",180,90),IF($J29&lt;TODAY(),"Expired / over maximum","Over maximum"),IF($J29&lt;TODAY(),"Expired",$L29))))))))</x:f>
      </x:c>
    </x:row>
    <x:row r="30">
      <x:c r="A30" s="8"/>
      <x:c r="B30" s="8"/>
      <x:c r="C30" s="8"/>
      <x:c r="D30" s="8"/>
      <x:c r="E30" s="8"/>
      <x:c r="F30" s="8"/>
      <x:c r="G30" s="8"/>
      <x:c r="H30" s="8"/>
      <x:c r="I30" s="68"/>
      <x:c r="J30" s="68"/>
      <x:c r="K30" s="68"/>
      <x:c r="L30" s="8"/>
      <x:c r="M30" t="str">
        <x:f>IF($A30="","",IF(OR($L30="Closed",$L30="Revoked"),$L30,IF($B30&lt;&gt;"Temporary waiver",$L30,IF($I30="","Missing approval date",IF($J30="","Missing expiry",IF($J30&lt;=$I30,"Invalid dates",IF($J30-$I30&gt;IF('Profile'!$B$11="Baseline",180,90),IF($J30&lt;TODAY(),"Expired / over maximum","Over maximum"),IF($J30&lt;TODAY(),"Expired",$L30))))))))</x:f>
      </x:c>
    </x:row>
    <x:row r="31">
      <x:c r="A31" s="8"/>
      <x:c r="B31" s="8"/>
      <x:c r="C31" s="8"/>
      <x:c r="D31" s="8"/>
      <x:c r="E31" s="8"/>
      <x:c r="F31" s="8"/>
      <x:c r="G31" s="8"/>
      <x:c r="H31" s="8"/>
      <x:c r="I31" s="68"/>
      <x:c r="J31" s="68"/>
      <x:c r="K31" s="68"/>
      <x:c r="L31" s="8"/>
      <x:c r="M31" t="str">
        <x:f>IF($A31="","",IF(OR($L31="Closed",$L31="Revoked"),$L31,IF($B31&lt;&gt;"Temporary waiver",$L31,IF($I31="","Missing approval date",IF($J31="","Missing expiry",IF($J31&lt;=$I31,"Invalid dates",IF($J31-$I31&gt;IF('Profile'!$B$11="Baseline",180,90),IF($J31&lt;TODAY(),"Expired / over maximum","Over maximum"),IF($J31&lt;TODAY(),"Expired",$L31))))))))</x:f>
      </x:c>
    </x:row>
    <x:row r="32">
      <x:c r="A32" s="8"/>
      <x:c r="B32" s="8"/>
      <x:c r="C32" s="8"/>
      <x:c r="D32" s="8"/>
      <x:c r="E32" s="8"/>
      <x:c r="F32" s="8"/>
      <x:c r="G32" s="8"/>
      <x:c r="H32" s="8"/>
      <x:c r="I32" s="68"/>
      <x:c r="J32" s="68"/>
      <x:c r="K32" s="68"/>
      <x:c r="L32" s="8"/>
      <x:c r="M32" t="str">
        <x:f>IF($A32="","",IF(OR($L32="Closed",$L32="Revoked"),$L32,IF($B32&lt;&gt;"Temporary waiver",$L32,IF($I32="","Missing approval date",IF($J32="","Missing expiry",IF($J32&lt;=$I32,"Invalid dates",IF($J32-$I32&gt;IF('Profile'!$B$11="Baseline",180,90),IF($J32&lt;TODAY(),"Expired / over maximum","Over maximum"),IF($J32&lt;TODAY(),"Expired",$L32))))))))</x:f>
      </x:c>
    </x:row>
    <x:row r="33">
      <x:c r="A33" s="8"/>
      <x:c r="B33" s="8"/>
      <x:c r="C33" s="8"/>
      <x:c r="D33" s="8"/>
      <x:c r="E33" s="8"/>
      <x:c r="F33" s="8"/>
      <x:c r="G33" s="8"/>
      <x:c r="H33" s="8"/>
      <x:c r="I33" s="68"/>
      <x:c r="J33" s="68"/>
      <x:c r="K33" s="68"/>
      <x:c r="L33" s="8"/>
      <x:c r="M33" t="str">
        <x:f>IF($A33="","",IF(OR($L33="Closed",$L33="Revoked"),$L33,IF($B33&lt;&gt;"Temporary waiver",$L33,IF($I33="","Missing approval date",IF($J33="","Missing expiry",IF($J33&lt;=$I33,"Invalid dates",IF($J33-$I33&gt;IF('Profile'!$B$11="Baseline",180,90),IF($J33&lt;TODAY(),"Expired / over maximum","Over maximum"),IF($J33&lt;TODAY(),"Expired",$L33))))))))</x:f>
      </x:c>
    </x:row>
    <x:row r="34">
      <x:c r="A34" s="8"/>
      <x:c r="B34" s="8"/>
      <x:c r="C34" s="8"/>
      <x:c r="D34" s="8"/>
      <x:c r="E34" s="8"/>
      <x:c r="F34" s="8"/>
      <x:c r="G34" s="8"/>
      <x:c r="H34" s="8"/>
      <x:c r="I34" s="68"/>
      <x:c r="J34" s="68"/>
      <x:c r="K34" s="68"/>
      <x:c r="L34" s="8"/>
      <x:c r="M34" t="str">
        <x:f>IF($A34="","",IF(OR($L34="Closed",$L34="Revoked"),$L34,IF($B34&lt;&gt;"Temporary waiver",$L34,IF($I34="","Missing approval date",IF($J34="","Missing expiry",IF($J34&lt;=$I34,"Invalid dates",IF($J34-$I34&gt;IF('Profile'!$B$11="Baseline",180,90),IF($J34&lt;TODAY(),"Expired / over maximum","Over maximum"),IF($J34&lt;TODAY(),"Expired",$L34))))))))</x:f>
      </x:c>
    </x:row>
    <x:row r="35">
      <x:c r="A35" s="8"/>
      <x:c r="B35" s="8"/>
      <x:c r="C35" s="8"/>
      <x:c r="D35" s="8"/>
      <x:c r="E35" s="8"/>
      <x:c r="F35" s="8"/>
      <x:c r="G35" s="8"/>
      <x:c r="H35" s="8"/>
      <x:c r="I35" s="68"/>
      <x:c r="J35" s="68"/>
      <x:c r="K35" s="68"/>
      <x:c r="L35" s="8"/>
      <x:c r="M35" t="str">
        <x:f>IF($A35="","",IF(OR($L35="Closed",$L35="Revoked"),$L35,IF($B35&lt;&gt;"Temporary waiver",$L35,IF($I35="","Missing approval date",IF($J35="","Missing expiry",IF($J35&lt;=$I35,"Invalid dates",IF($J35-$I35&gt;IF('Profile'!$B$11="Baseline",180,90),IF($J35&lt;TODAY(),"Expired / over maximum","Over maximum"),IF($J35&lt;TODAY(),"Expired",$L35))))))))</x:f>
      </x:c>
    </x:row>
    <x:row r="36">
      <x:c r="A36" s="8"/>
      <x:c r="B36" s="8"/>
      <x:c r="C36" s="8"/>
      <x:c r="D36" s="8"/>
      <x:c r="E36" s="8"/>
      <x:c r="F36" s="8"/>
      <x:c r="G36" s="8"/>
      <x:c r="H36" s="8"/>
      <x:c r="I36" s="68"/>
      <x:c r="J36" s="68"/>
      <x:c r="K36" s="68"/>
      <x:c r="L36" s="8"/>
      <x:c r="M36" t="str">
        <x:f>IF($A36="","",IF(OR($L36="Closed",$L36="Revoked"),$L36,IF($B36&lt;&gt;"Temporary waiver",$L36,IF($I36="","Missing approval date",IF($J36="","Missing expiry",IF($J36&lt;=$I36,"Invalid dates",IF($J36-$I36&gt;IF('Profile'!$B$11="Baseline",180,90),IF($J36&lt;TODAY(),"Expired / over maximum","Over maximum"),IF($J36&lt;TODAY(),"Expired",$L36))))))))</x:f>
      </x:c>
    </x:row>
    <x:row r="37">
      <x:c r="A37" s="8"/>
      <x:c r="B37" s="8"/>
      <x:c r="C37" s="8"/>
      <x:c r="D37" s="8"/>
      <x:c r="E37" s="8"/>
      <x:c r="F37" s="8"/>
      <x:c r="G37" s="8"/>
      <x:c r="H37" s="8"/>
      <x:c r="I37" s="68"/>
      <x:c r="J37" s="68"/>
      <x:c r="K37" s="68"/>
      <x:c r="L37" s="8"/>
      <x:c r="M37" t="str">
        <x:f>IF($A37="","",IF(OR($L37="Closed",$L37="Revoked"),$L37,IF($B37&lt;&gt;"Temporary waiver",$L37,IF($I37="","Missing approval date",IF($J37="","Missing expiry",IF($J37&lt;=$I37,"Invalid dates",IF($J37-$I37&gt;IF('Profile'!$B$11="Baseline",180,90),IF($J37&lt;TODAY(),"Expired / over maximum","Over maximum"),IF($J37&lt;TODAY(),"Expired",$L37))))))))</x:f>
      </x:c>
    </x:row>
    <x:row r="38">
      <x:c r="A38" s="8"/>
      <x:c r="B38" s="8"/>
      <x:c r="C38" s="8"/>
      <x:c r="D38" s="8"/>
      <x:c r="E38" s="8"/>
      <x:c r="F38" s="8"/>
      <x:c r="G38" s="8"/>
      <x:c r="H38" s="8"/>
      <x:c r="I38" s="68"/>
      <x:c r="J38" s="68"/>
      <x:c r="K38" s="68"/>
      <x:c r="L38" s="8"/>
      <x:c r="M38" t="str">
        <x:f>IF($A38="","",IF(OR($L38="Closed",$L38="Revoked"),$L38,IF($B38&lt;&gt;"Temporary waiver",$L38,IF($I38="","Missing approval date",IF($J38="","Missing expiry",IF($J38&lt;=$I38,"Invalid dates",IF($J38-$I38&gt;IF('Profile'!$B$11="Baseline",180,90),IF($J38&lt;TODAY(),"Expired / over maximum","Over maximum"),IF($J38&lt;TODAY(),"Expired",$L38))))))))</x:f>
      </x:c>
    </x:row>
    <x:row r="39">
      <x:c r="A39" s="8"/>
      <x:c r="B39" s="8"/>
      <x:c r="C39" s="8"/>
      <x:c r="D39" s="8"/>
      <x:c r="E39" s="8"/>
      <x:c r="F39" s="8"/>
      <x:c r="G39" s="8"/>
      <x:c r="H39" s="8"/>
      <x:c r="I39" s="68"/>
      <x:c r="J39" s="68"/>
      <x:c r="K39" s="68"/>
      <x:c r="L39" s="8"/>
      <x:c r="M39" t="str">
        <x:f>IF($A39="","",IF(OR($L39="Closed",$L39="Revoked"),$L39,IF($B39&lt;&gt;"Temporary waiver",$L39,IF($I39="","Missing approval date",IF($J39="","Missing expiry",IF($J39&lt;=$I39,"Invalid dates",IF($J39-$I39&gt;IF('Profile'!$B$11="Baseline",180,90),IF($J39&lt;TODAY(),"Expired / over maximum","Over maximum"),IF($J39&lt;TODAY(),"Expired",$L39))))))))</x:f>
      </x:c>
    </x:row>
    <x:row r="40">
      <x:c r="A40" s="8"/>
      <x:c r="B40" s="8"/>
      <x:c r="C40" s="8"/>
      <x:c r="D40" s="8"/>
      <x:c r="E40" s="8"/>
      <x:c r="F40" s="8"/>
      <x:c r="G40" s="8"/>
      <x:c r="H40" s="8"/>
      <x:c r="I40" s="68"/>
      <x:c r="J40" s="68"/>
      <x:c r="K40" s="68"/>
      <x:c r="L40" s="8"/>
      <x:c r="M40" t="str">
        <x:f>IF($A40="","",IF(OR($L40="Closed",$L40="Revoked"),$L40,IF($B40&lt;&gt;"Temporary waiver",$L40,IF($I40="","Missing approval date",IF($J40="","Missing expiry",IF($J40&lt;=$I40,"Invalid dates",IF($J40-$I40&gt;IF('Profile'!$B$11="Baseline",180,90),IF($J40&lt;TODAY(),"Expired / over maximum","Over maximum"),IF($J40&lt;TODAY(),"Expired",$L40))))))))</x:f>
      </x:c>
    </x:row>
    <x:row r="41">
      <x:c r="A41" s="8"/>
      <x:c r="B41" s="8"/>
      <x:c r="C41" s="8"/>
      <x:c r="D41" s="8"/>
      <x:c r="E41" s="8"/>
      <x:c r="F41" s="8"/>
      <x:c r="G41" s="8"/>
      <x:c r="H41" s="8"/>
      <x:c r="I41" s="68"/>
      <x:c r="J41" s="68"/>
      <x:c r="K41" s="68"/>
      <x:c r="L41" s="8"/>
      <x:c r="M41" t="str">
        <x:f>IF($A41="","",IF(OR($L41="Closed",$L41="Revoked"),$L41,IF($B41&lt;&gt;"Temporary waiver",$L41,IF($I41="","Missing approval date",IF($J41="","Missing expiry",IF($J41&lt;=$I41,"Invalid dates",IF($J41-$I41&gt;IF('Profile'!$B$11="Baseline",180,90),IF($J41&lt;TODAY(),"Expired / over maximum","Over maximum"),IF($J41&lt;TODAY(),"Expired",$L41))))))))</x:f>
      </x:c>
    </x:row>
    <x:row r="42">
      <x:c r="A42" s="8"/>
      <x:c r="B42" s="8"/>
      <x:c r="C42" s="8"/>
      <x:c r="D42" s="8"/>
      <x:c r="E42" s="8"/>
      <x:c r="F42" s="8"/>
      <x:c r="G42" s="8"/>
      <x:c r="H42" s="8"/>
      <x:c r="I42" s="68"/>
      <x:c r="J42" s="68"/>
      <x:c r="K42" s="68"/>
      <x:c r="L42" s="8"/>
      <x:c r="M42" t="str">
        <x:f>IF($A42="","",IF(OR($L42="Closed",$L42="Revoked"),$L42,IF($B42&lt;&gt;"Temporary waiver",$L42,IF($I42="","Missing approval date",IF($J42="","Missing expiry",IF($J42&lt;=$I42,"Invalid dates",IF($J42-$I42&gt;IF('Profile'!$B$11="Baseline",180,90),IF($J42&lt;TODAY(),"Expired / over maximum","Over maximum"),IF($J42&lt;TODAY(),"Expired",$L42))))))))</x:f>
      </x:c>
    </x:row>
    <x:row r="43">
      <x:c r="A43" s="8"/>
      <x:c r="B43" s="8"/>
      <x:c r="C43" s="8"/>
      <x:c r="D43" s="8"/>
      <x:c r="E43" s="8"/>
      <x:c r="F43" s="8"/>
      <x:c r="G43" s="8"/>
      <x:c r="H43" s="8"/>
      <x:c r="I43" s="68"/>
      <x:c r="J43" s="68"/>
      <x:c r="K43" s="68"/>
      <x:c r="L43" s="8"/>
      <x:c r="M43" t="str">
        <x:f>IF($A43="","",IF(OR($L43="Closed",$L43="Revoked"),$L43,IF($B43&lt;&gt;"Temporary waiver",$L43,IF($I43="","Missing approval date",IF($J43="","Missing expiry",IF($J43&lt;=$I43,"Invalid dates",IF($J43-$I43&gt;IF('Profile'!$B$11="Baseline",180,90),IF($J43&lt;TODAY(),"Expired / over maximum","Over maximum"),IF($J43&lt;TODAY(),"Expired",$L43))))))))</x:f>
      </x:c>
    </x:row>
    <x:row r="44">
      <x:c r="A44" s="8"/>
      <x:c r="B44" s="8"/>
      <x:c r="C44" s="8"/>
      <x:c r="D44" s="8"/>
      <x:c r="E44" s="8"/>
      <x:c r="F44" s="8"/>
      <x:c r="G44" s="8"/>
      <x:c r="H44" s="8"/>
      <x:c r="I44" s="68"/>
      <x:c r="J44" s="68"/>
      <x:c r="K44" s="68"/>
      <x:c r="L44" s="8"/>
      <x:c r="M44" t="str">
        <x:f>IF($A44="","",IF(OR($L44="Closed",$L44="Revoked"),$L44,IF($B44&lt;&gt;"Temporary waiver",$L44,IF($I44="","Missing approval date",IF($J44="","Missing expiry",IF($J44&lt;=$I44,"Invalid dates",IF($J44-$I44&gt;IF('Profile'!$B$11="Baseline",180,90),IF($J44&lt;TODAY(),"Expired / over maximum","Over maximum"),IF($J44&lt;TODAY(),"Expired",$L44))))))))</x:f>
      </x:c>
    </x:row>
    <x:row r="45">
      <x:c r="A45" s="8"/>
      <x:c r="B45" s="8"/>
      <x:c r="C45" s="8"/>
      <x:c r="D45" s="8"/>
      <x:c r="E45" s="8"/>
      <x:c r="F45" s="8"/>
      <x:c r="G45" s="8"/>
      <x:c r="H45" s="8"/>
      <x:c r="I45" s="68"/>
      <x:c r="J45" s="68"/>
      <x:c r="K45" s="68"/>
      <x:c r="L45" s="8"/>
      <x:c r="M45" t="str">
        <x:f>IF($A45="","",IF(OR($L45="Closed",$L45="Revoked"),$L45,IF($B45&lt;&gt;"Temporary waiver",$L45,IF($I45="","Missing approval date",IF($J45="","Missing expiry",IF($J45&lt;=$I45,"Invalid dates",IF($J45-$I45&gt;IF('Profile'!$B$11="Baseline",180,90),IF($J45&lt;TODAY(),"Expired / over maximum","Over maximum"),IF($J45&lt;TODAY(),"Expired",$L45))))))))</x:f>
      </x:c>
    </x:row>
    <x:row r="46">
      <x:c r="A46" s="8"/>
      <x:c r="B46" s="8"/>
      <x:c r="C46" s="8"/>
      <x:c r="D46" s="8"/>
      <x:c r="E46" s="8"/>
      <x:c r="F46" s="8"/>
      <x:c r="G46" s="8"/>
      <x:c r="H46" s="8"/>
      <x:c r="I46" s="68"/>
      <x:c r="J46" s="68"/>
      <x:c r="K46" s="68"/>
      <x:c r="L46" s="8"/>
      <x:c r="M46" t="str">
        <x:f>IF($A46="","",IF(OR($L46="Closed",$L46="Revoked"),$L46,IF($B46&lt;&gt;"Temporary waiver",$L46,IF($I46="","Missing approval date",IF($J46="","Missing expiry",IF($J46&lt;=$I46,"Invalid dates",IF($J46-$I46&gt;IF('Profile'!$B$11="Baseline",180,90),IF($J46&lt;TODAY(),"Expired / over maximum","Over maximum"),IF($J46&lt;TODAY(),"Expired",$L46))))))))</x:f>
      </x:c>
    </x:row>
    <x:row r="47">
      <x:c r="A47" s="8"/>
      <x:c r="B47" s="8"/>
      <x:c r="C47" s="8"/>
      <x:c r="D47" s="8"/>
      <x:c r="E47" s="8"/>
      <x:c r="F47" s="8"/>
      <x:c r="G47" s="8"/>
      <x:c r="H47" s="8"/>
      <x:c r="I47" s="68"/>
      <x:c r="J47" s="68"/>
      <x:c r="K47" s="68"/>
      <x:c r="L47" s="8"/>
      <x:c r="M47" t="str">
        <x:f>IF($A47="","",IF(OR($L47="Closed",$L47="Revoked"),$L47,IF($B47&lt;&gt;"Temporary waiver",$L47,IF($I47="","Missing approval date",IF($J47="","Missing expiry",IF($J47&lt;=$I47,"Invalid dates",IF($J47-$I47&gt;IF('Profile'!$B$11="Baseline",180,90),IF($J47&lt;TODAY(),"Expired / over maximum","Over maximum"),IF($J47&lt;TODAY(),"Expired",$L47))))))))</x:f>
      </x:c>
    </x:row>
    <x:row r="48">
      <x:c r="A48" s="8"/>
      <x:c r="B48" s="8"/>
      <x:c r="C48" s="8"/>
      <x:c r="D48" s="8"/>
      <x:c r="E48" s="8"/>
      <x:c r="F48" s="8"/>
      <x:c r="G48" s="8"/>
      <x:c r="H48" s="8"/>
      <x:c r="I48" s="68"/>
      <x:c r="J48" s="68"/>
      <x:c r="K48" s="68"/>
      <x:c r="L48" s="8"/>
      <x:c r="M48" t="str">
        <x:f>IF($A48="","",IF(OR($L48="Closed",$L48="Revoked"),$L48,IF($B48&lt;&gt;"Temporary waiver",$L48,IF($I48="","Missing approval date",IF($J48="","Missing expiry",IF($J48&lt;=$I48,"Invalid dates",IF($J48-$I48&gt;IF('Profile'!$B$11="Baseline",180,90),IF($J48&lt;TODAY(),"Expired / over maximum","Over maximum"),IF($J48&lt;TODAY(),"Expired",$L48))))))))</x:f>
      </x:c>
    </x:row>
    <x:row r="49">
      <x:c r="A49" s="8"/>
      <x:c r="B49" s="8"/>
      <x:c r="C49" s="8"/>
      <x:c r="D49" s="8"/>
      <x:c r="E49" s="8"/>
      <x:c r="F49" s="8"/>
      <x:c r="G49" s="8"/>
      <x:c r="H49" s="8"/>
      <x:c r="I49" s="68"/>
      <x:c r="J49" s="68"/>
      <x:c r="K49" s="68"/>
      <x:c r="L49" s="8"/>
      <x:c r="M49" t="str">
        <x:f>IF($A49="","",IF(OR($L49="Closed",$L49="Revoked"),$L49,IF($B49&lt;&gt;"Temporary waiver",$L49,IF($I49="","Missing approval date",IF($J49="","Missing expiry",IF($J49&lt;=$I49,"Invalid dates",IF($J49-$I49&gt;IF('Profile'!$B$11="Baseline",180,90),IF($J49&lt;TODAY(),"Expired / over maximum","Over maximum"),IF($J49&lt;TODAY(),"Expired",$L49))))))))</x:f>
      </x:c>
    </x:row>
    <x:row r="50">
      <x:c r="A50" s="8"/>
      <x:c r="B50" s="8"/>
      <x:c r="C50" s="8"/>
      <x:c r="D50" s="8"/>
      <x:c r="E50" s="8"/>
      <x:c r="F50" s="8"/>
      <x:c r="G50" s="8"/>
      <x:c r="H50" s="8"/>
      <x:c r="I50" s="68"/>
      <x:c r="J50" s="68"/>
      <x:c r="K50" s="68"/>
      <x:c r="L50" s="8"/>
      <x:c r="M50" t="str">
        <x:f>IF($A50="","",IF(OR($L50="Closed",$L50="Revoked"),$L50,IF($B50&lt;&gt;"Temporary waiver",$L50,IF($I50="","Missing approval date",IF($J50="","Missing expiry",IF($J50&lt;=$I50,"Invalid dates",IF($J50-$I50&gt;IF('Profile'!$B$11="Baseline",180,90),IF($J50&lt;TODAY(),"Expired / over maximum","Over maximum"),IF($J50&lt;TODAY(),"Expired",$L50))))))))</x:f>
      </x:c>
    </x:row>
    <x:row r="51">
      <x:c r="A51" s="8"/>
      <x:c r="B51" s="8"/>
      <x:c r="C51" s="8"/>
      <x:c r="D51" s="8"/>
      <x:c r="E51" s="8"/>
      <x:c r="F51" s="8"/>
      <x:c r="G51" s="8"/>
      <x:c r="H51" s="8"/>
      <x:c r="I51" s="68"/>
      <x:c r="J51" s="68"/>
      <x:c r="K51" s="68"/>
      <x:c r="L51" s="8"/>
      <x:c r="M51" t="str">
        <x:f>IF($A51="","",IF(OR($L51="Closed",$L51="Revoked"),$L51,IF($B51&lt;&gt;"Temporary waiver",$L51,IF($I51="","Missing approval date",IF($J51="","Missing expiry",IF($J51&lt;=$I51,"Invalid dates",IF($J51-$I51&gt;IF('Profile'!$B$11="Baseline",180,90),IF($J51&lt;TODAY(),"Expired / over maximum","Over maximum"),IF($J51&lt;TODAY(),"Expired",$L51))))))))</x:f>
      </x:c>
    </x:row>
    <x:row r="52">
      <x:c r="A52" s="8"/>
      <x:c r="B52" s="8"/>
      <x:c r="C52" s="8"/>
      <x:c r="D52" s="8"/>
      <x:c r="E52" s="8"/>
      <x:c r="F52" s="8"/>
      <x:c r="G52" s="8"/>
      <x:c r="H52" s="8"/>
      <x:c r="I52" s="68"/>
      <x:c r="J52" s="68"/>
      <x:c r="K52" s="68"/>
      <x:c r="L52" s="8"/>
      <x:c r="M52" t="str">
        <x:f>IF($A52="","",IF(OR($L52="Closed",$L52="Revoked"),$L52,IF($B52&lt;&gt;"Temporary waiver",$L52,IF($I52="","Missing approval date",IF($J52="","Missing expiry",IF($J52&lt;=$I52,"Invalid dates",IF($J52-$I52&gt;IF('Profile'!$B$11="Baseline",180,90),IF($J52&lt;TODAY(),"Expired / over maximum","Over maximum"),IF($J52&lt;TODAY(),"Expired",$L52))))))))</x:f>
      </x:c>
    </x:row>
    <x:row r="53">
      <x:c r="A53" s="8"/>
      <x:c r="B53" s="8"/>
      <x:c r="C53" s="8"/>
      <x:c r="D53" s="8"/>
      <x:c r="E53" s="8"/>
      <x:c r="F53" s="8"/>
      <x:c r="G53" s="8"/>
      <x:c r="H53" s="8"/>
      <x:c r="I53" s="68"/>
      <x:c r="J53" s="68"/>
      <x:c r="K53" s="68"/>
      <x:c r="L53" s="8"/>
      <x:c r="M53" t="str">
        <x:f>IF($A53="","",IF(OR($L53="Closed",$L53="Revoked"),$L53,IF($B53&lt;&gt;"Temporary waiver",$L53,IF($I53="","Missing approval date",IF($J53="","Missing expiry",IF($J53&lt;=$I53,"Invalid dates",IF($J53-$I53&gt;IF('Profile'!$B$11="Baseline",180,90),IF($J53&lt;TODAY(),"Expired / over maximum","Over maximum"),IF($J53&lt;TODAY(),"Expired",$L53))))))))</x:f>
      </x:c>
    </x:row>
    <x:row r="54">
      <x:c r="A54" s="8"/>
      <x:c r="B54" s="8"/>
      <x:c r="C54" s="8"/>
      <x:c r="D54" s="8"/>
      <x:c r="E54" s="8"/>
      <x:c r="F54" s="8"/>
      <x:c r="G54" s="8"/>
      <x:c r="H54" s="8"/>
      <x:c r="I54" s="68"/>
      <x:c r="J54" s="68"/>
      <x:c r="K54" s="68"/>
      <x:c r="L54" s="8"/>
      <x:c r="M54" t="str">
        <x:f>IF($A54="","",IF(OR($L54="Closed",$L54="Revoked"),$L54,IF($B54&lt;&gt;"Temporary waiver",$L54,IF($I54="","Missing approval date",IF($J54="","Missing expiry",IF($J54&lt;=$I54,"Invalid dates",IF($J54-$I54&gt;IF('Profile'!$B$11="Baseline",180,90),IF($J54&lt;TODAY(),"Expired / over maximum","Over maximum"),IF($J54&lt;TODAY(),"Expired",$L54))))))))</x:f>
      </x:c>
    </x:row>
    <x:row r="55">
      <x:c r="A55" s="8"/>
      <x:c r="B55" s="8"/>
      <x:c r="C55" s="8"/>
      <x:c r="D55" s="8"/>
      <x:c r="E55" s="8"/>
      <x:c r="F55" s="8"/>
      <x:c r="G55" s="8"/>
      <x:c r="H55" s="8"/>
      <x:c r="I55" s="68"/>
      <x:c r="J55" s="68"/>
      <x:c r="K55" s="68"/>
      <x:c r="L55" s="8"/>
      <x:c r="M55" t="str">
        <x:f>IF($A55="","",IF(OR($L55="Closed",$L55="Revoked"),$L55,IF($B55&lt;&gt;"Temporary waiver",$L55,IF($I55="","Missing approval date",IF($J55="","Missing expiry",IF($J55&lt;=$I55,"Invalid dates",IF($J55-$I55&gt;IF('Profile'!$B$11="Baseline",180,90),IF($J55&lt;TODAY(),"Expired / over maximum","Over maximum"),IF($J55&lt;TODAY(),"Expired",$L55))))))))</x:f>
      </x:c>
    </x:row>
    <x:row r="56">
      <x:c r="A56" s="8"/>
      <x:c r="B56" s="8"/>
      <x:c r="C56" s="8"/>
      <x:c r="D56" s="8"/>
      <x:c r="E56" s="8"/>
      <x:c r="F56" s="8"/>
      <x:c r="G56" s="8"/>
      <x:c r="H56" s="8"/>
      <x:c r="I56" s="68"/>
      <x:c r="J56" s="68"/>
      <x:c r="K56" s="68"/>
      <x:c r="L56" s="8"/>
      <x:c r="M56" t="str">
        <x:f>IF($A56="","",IF(OR($L56="Closed",$L56="Revoked"),$L56,IF($B56&lt;&gt;"Temporary waiver",$L56,IF($I56="","Missing approval date",IF($J56="","Missing expiry",IF($J56&lt;=$I56,"Invalid dates",IF($J56-$I56&gt;IF('Profile'!$B$11="Baseline",180,90),IF($J56&lt;TODAY(),"Expired / over maximum","Over maximum"),IF($J56&lt;TODAY(),"Expired",$L56))))))))</x:f>
      </x:c>
    </x:row>
    <x:row r="57">
      <x:c r="A57" s="8"/>
      <x:c r="B57" s="8"/>
      <x:c r="C57" s="8"/>
      <x:c r="D57" s="8"/>
      <x:c r="E57" s="8"/>
      <x:c r="F57" s="8"/>
      <x:c r="G57" s="8"/>
      <x:c r="H57" s="8"/>
      <x:c r="I57" s="68"/>
      <x:c r="J57" s="68"/>
      <x:c r="K57" s="68"/>
      <x:c r="L57" s="8"/>
      <x:c r="M57" t="str">
        <x:f>IF($A57="","",IF(OR($L57="Closed",$L57="Revoked"),$L57,IF($B57&lt;&gt;"Temporary waiver",$L57,IF($I57="","Missing approval date",IF($J57="","Missing expiry",IF($J57&lt;=$I57,"Invalid dates",IF($J57-$I57&gt;IF('Profile'!$B$11="Baseline",180,90),IF($J57&lt;TODAY(),"Expired / over maximum","Over maximum"),IF($J57&lt;TODAY(),"Expired",$L57))))))))</x:f>
      </x:c>
    </x:row>
    <x:row r="58">
      <x:c r="A58" s="8"/>
      <x:c r="B58" s="8"/>
      <x:c r="C58" s="8"/>
      <x:c r="D58" s="8"/>
      <x:c r="E58" s="8"/>
      <x:c r="F58" s="8"/>
      <x:c r="G58" s="8"/>
      <x:c r="H58" s="8"/>
      <x:c r="I58" s="68"/>
      <x:c r="J58" s="68"/>
      <x:c r="K58" s="68"/>
      <x:c r="L58" s="8"/>
      <x:c r="M58" t="str">
        <x:f>IF($A58="","",IF(OR($L58="Closed",$L58="Revoked"),$L58,IF($B58&lt;&gt;"Temporary waiver",$L58,IF($I58="","Missing approval date",IF($J58="","Missing expiry",IF($J58&lt;=$I58,"Invalid dates",IF($J58-$I58&gt;IF('Profile'!$B$11="Baseline",180,90),IF($J58&lt;TODAY(),"Expired / over maximum","Over maximum"),IF($J58&lt;TODAY(),"Expired",$L58))))))))</x:f>
      </x:c>
    </x:row>
    <x:row r="59">
      <x:c r="A59" s="8"/>
      <x:c r="B59" s="8"/>
      <x:c r="C59" s="8"/>
      <x:c r="D59" s="8"/>
      <x:c r="E59" s="8"/>
      <x:c r="F59" s="8"/>
      <x:c r="G59" s="8"/>
      <x:c r="H59" s="8"/>
      <x:c r="I59" s="68"/>
      <x:c r="J59" s="68"/>
      <x:c r="K59" s="68"/>
      <x:c r="L59" s="8"/>
      <x:c r="M59" t="str">
        <x:f>IF($A59="","",IF(OR($L59="Closed",$L59="Revoked"),$L59,IF($B59&lt;&gt;"Temporary waiver",$L59,IF($I59="","Missing approval date",IF($J59="","Missing expiry",IF($J59&lt;=$I59,"Invalid dates",IF($J59-$I59&gt;IF('Profile'!$B$11="Baseline",180,90),IF($J59&lt;TODAY(),"Expired / over maximum","Over maximum"),IF($J59&lt;TODAY(),"Expired",$L59))))))))</x:f>
      </x:c>
    </x:row>
    <x:row r="60">
      <x:c r="A60" s="8"/>
      <x:c r="B60" s="8"/>
      <x:c r="C60" s="8"/>
      <x:c r="D60" s="8"/>
      <x:c r="E60" s="8"/>
      <x:c r="F60" s="8"/>
      <x:c r="G60" s="8"/>
      <x:c r="H60" s="8"/>
      <x:c r="I60" s="68"/>
      <x:c r="J60" s="68"/>
      <x:c r="K60" s="68"/>
      <x:c r="L60" s="8"/>
      <x:c r="M60" t="str">
        <x:f>IF($A60="","",IF(OR($L60="Closed",$L60="Revoked"),$L60,IF($B60&lt;&gt;"Temporary waiver",$L60,IF($I60="","Missing approval date",IF($J60="","Missing expiry",IF($J60&lt;=$I60,"Invalid dates",IF($J60-$I60&gt;IF('Profile'!$B$11="Baseline",180,90),IF($J60&lt;TODAY(),"Expired / over maximum","Over maximum"),IF($J60&lt;TODAY(),"Expired",$L60))))))))</x:f>
      </x:c>
    </x:row>
    <x:row r="61">
      <x:c r="A61" s="8"/>
      <x:c r="B61" s="8"/>
      <x:c r="C61" s="8"/>
      <x:c r="D61" s="8"/>
      <x:c r="E61" s="8"/>
      <x:c r="F61" s="8"/>
      <x:c r="G61" s="8"/>
      <x:c r="H61" s="8"/>
      <x:c r="I61" s="68"/>
      <x:c r="J61" s="68"/>
      <x:c r="K61" s="68"/>
      <x:c r="L61" s="8"/>
      <x:c r="M61" t="str">
        <x:f>IF($A61="","",IF(OR($L61="Closed",$L61="Revoked"),$L61,IF($B61&lt;&gt;"Temporary waiver",$L61,IF($I61="","Missing approval date",IF($J61="","Missing expiry",IF($J61&lt;=$I61,"Invalid dates",IF($J61-$I61&gt;IF('Profile'!$B$11="Baseline",180,90),IF($J61&lt;TODAY(),"Expired / over maximum","Over maximum"),IF($J61&lt;TODAY(),"Expired",$L61))))))))</x:f>
      </x:c>
    </x:row>
    <x:row r="62">
      <x:c r="A62" s="8"/>
      <x:c r="B62" s="8"/>
      <x:c r="C62" s="8"/>
      <x:c r="D62" s="8"/>
      <x:c r="E62" s="8"/>
      <x:c r="F62" s="8"/>
      <x:c r="G62" s="8"/>
      <x:c r="H62" s="8"/>
      <x:c r="I62" s="68"/>
      <x:c r="J62" s="68"/>
      <x:c r="K62" s="68"/>
      <x:c r="L62" s="8"/>
      <x:c r="M62" t="str">
        <x:f>IF($A62="","",IF(OR($L62="Closed",$L62="Revoked"),$L62,IF($B62&lt;&gt;"Temporary waiver",$L62,IF($I62="","Missing approval date",IF($J62="","Missing expiry",IF($J62&lt;=$I62,"Invalid dates",IF($J62-$I62&gt;IF('Profile'!$B$11="Baseline",180,90),IF($J62&lt;TODAY(),"Expired / over maximum","Over maximum"),IF($J62&lt;TODAY(),"Expired",$L62))))))))</x:f>
      </x:c>
    </x:row>
    <x:row r="63">
      <x:c r="A63" s="8"/>
      <x:c r="B63" s="8"/>
      <x:c r="C63" s="8"/>
      <x:c r="D63" s="8"/>
      <x:c r="E63" s="8"/>
      <x:c r="F63" s="8"/>
      <x:c r="G63" s="8"/>
      <x:c r="H63" s="8"/>
      <x:c r="I63" s="68"/>
      <x:c r="J63" s="68"/>
      <x:c r="K63" s="68"/>
      <x:c r="L63" s="8"/>
      <x:c r="M63" t="str">
        <x:f>IF($A63="","",IF(OR($L63="Closed",$L63="Revoked"),$L63,IF($B63&lt;&gt;"Temporary waiver",$L63,IF($I63="","Missing approval date",IF($J63="","Missing expiry",IF($J63&lt;=$I63,"Invalid dates",IF($J63-$I63&gt;IF('Profile'!$B$11="Baseline",180,90),IF($J63&lt;TODAY(),"Expired / over maximum","Over maximum"),IF($J63&lt;TODAY(),"Expired",$L63))))))))</x:f>
      </x:c>
    </x:row>
    <x:row r="64">
      <x:c r="A64" s="8"/>
      <x:c r="B64" s="8"/>
      <x:c r="C64" s="8"/>
      <x:c r="D64" s="8"/>
      <x:c r="E64" s="8"/>
      <x:c r="F64" s="8"/>
      <x:c r="G64" s="8"/>
      <x:c r="H64" s="8"/>
      <x:c r="I64" s="68"/>
      <x:c r="J64" s="68"/>
      <x:c r="K64" s="68"/>
      <x:c r="L64" s="8"/>
      <x:c r="M64" t="str">
        <x:f>IF($A64="","",IF(OR($L64="Closed",$L64="Revoked"),$L64,IF($B64&lt;&gt;"Temporary waiver",$L64,IF($I64="","Missing approval date",IF($J64="","Missing expiry",IF($J64&lt;=$I64,"Invalid dates",IF($J64-$I64&gt;IF('Profile'!$B$11="Baseline",180,90),IF($J64&lt;TODAY(),"Expired / over maximum","Over maximum"),IF($J64&lt;TODAY(),"Expired",$L64))))))))</x:f>
      </x:c>
    </x:row>
    <x:row r="65">
      <x:c r="A65" s="8"/>
      <x:c r="B65" s="8"/>
      <x:c r="C65" s="8"/>
      <x:c r="D65" s="8"/>
      <x:c r="E65" s="8"/>
      <x:c r="F65" s="8"/>
      <x:c r="G65" s="8"/>
      <x:c r="H65" s="8"/>
      <x:c r="I65" s="68"/>
      <x:c r="J65" s="68"/>
      <x:c r="K65" s="68"/>
      <x:c r="L65" s="8"/>
      <x:c r="M65" t="str">
        <x:f>IF($A65="","",IF(OR($L65="Closed",$L65="Revoked"),$L65,IF($B65&lt;&gt;"Temporary waiver",$L65,IF($I65="","Missing approval date",IF($J65="","Missing expiry",IF($J65&lt;=$I65,"Invalid dates",IF($J65-$I65&gt;IF('Profile'!$B$11="Baseline",180,90),IF($J65&lt;TODAY(),"Expired / over maximum","Over maximum"),IF($J65&lt;TODAY(),"Expired",$L65))))))))</x:f>
      </x:c>
    </x:row>
    <x:row r="66">
      <x:c r="A66" s="8"/>
      <x:c r="B66" s="8"/>
      <x:c r="C66" s="8"/>
      <x:c r="D66" s="8"/>
      <x:c r="E66" s="8"/>
      <x:c r="F66" s="8"/>
      <x:c r="G66" s="8"/>
      <x:c r="H66" s="8"/>
      <x:c r="I66" s="68"/>
      <x:c r="J66" s="68"/>
      <x:c r="K66" s="68"/>
      <x:c r="L66" s="8"/>
      <x:c r="M66" t="str">
        <x:f>IF($A66="","",IF(OR($L66="Closed",$L66="Revoked"),$L66,IF($B66&lt;&gt;"Temporary waiver",$L66,IF($I66="","Missing approval date",IF($J66="","Missing expiry",IF($J66&lt;=$I66,"Invalid dates",IF($J66-$I66&gt;IF('Profile'!$B$11="Baseline",180,90),IF($J66&lt;TODAY(),"Expired / over maximum","Over maximum"),IF($J66&lt;TODAY(),"Expired",$L66))))))))</x:f>
      </x:c>
    </x:row>
    <x:row r="67">
      <x:c r="A67" s="8"/>
      <x:c r="B67" s="8"/>
      <x:c r="C67" s="8"/>
      <x:c r="D67" s="8"/>
      <x:c r="E67" s="8"/>
      <x:c r="F67" s="8"/>
      <x:c r="G67" s="8"/>
      <x:c r="H67" s="8"/>
      <x:c r="I67" s="68"/>
      <x:c r="J67" s="68"/>
      <x:c r="K67" s="68"/>
      <x:c r="L67" s="8"/>
      <x:c r="M67" t="str">
        <x:f>IF($A67="","",IF(OR($L67="Closed",$L67="Revoked"),$L67,IF($B67&lt;&gt;"Temporary waiver",$L67,IF($I67="","Missing approval date",IF($J67="","Missing expiry",IF($J67&lt;=$I67,"Invalid dates",IF($J67-$I67&gt;IF('Profile'!$B$11="Baseline",180,90),IF($J67&lt;TODAY(),"Expired / over maximum","Over maximum"),IF($J67&lt;TODAY(),"Expired",$L67))))))))</x:f>
      </x:c>
    </x:row>
    <x:row r="68">
      <x:c r="A68" s="8"/>
      <x:c r="B68" s="8"/>
      <x:c r="C68" s="8"/>
      <x:c r="D68" s="8"/>
      <x:c r="E68" s="8"/>
      <x:c r="F68" s="8"/>
      <x:c r="G68" s="8"/>
      <x:c r="H68" s="8"/>
      <x:c r="I68" s="68"/>
      <x:c r="J68" s="68"/>
      <x:c r="K68" s="68"/>
      <x:c r="L68" s="8"/>
      <x:c r="M68" t="str">
        <x:f>IF($A68="","",IF(OR($L68="Closed",$L68="Revoked"),$L68,IF($B68&lt;&gt;"Temporary waiver",$L68,IF($I68="","Missing approval date",IF($J68="","Missing expiry",IF($J68&lt;=$I68,"Invalid dates",IF($J68-$I68&gt;IF('Profile'!$B$11="Baseline",180,90),IF($J68&lt;TODAY(),"Expired / over maximum","Over maximum"),IF($J68&lt;TODAY(),"Expired",$L68))))))))</x:f>
      </x:c>
    </x:row>
    <x:row r="69">
      <x:c r="A69" s="8"/>
      <x:c r="B69" s="8"/>
      <x:c r="C69" s="8"/>
      <x:c r="D69" s="8"/>
      <x:c r="E69" s="8"/>
      <x:c r="F69" s="8"/>
      <x:c r="G69" s="8"/>
      <x:c r="H69" s="8"/>
      <x:c r="I69" s="68"/>
      <x:c r="J69" s="68"/>
      <x:c r="K69" s="68"/>
      <x:c r="L69" s="8"/>
      <x:c r="M69" t="str">
        <x:f>IF($A69="","",IF(OR($L69="Closed",$L69="Revoked"),$L69,IF($B69&lt;&gt;"Temporary waiver",$L69,IF($I69="","Missing approval date",IF($J69="","Missing expiry",IF($J69&lt;=$I69,"Invalid dates",IF($J69-$I69&gt;IF('Profile'!$B$11="Baseline",180,90),IF($J69&lt;TODAY(),"Expired / over maximum","Over maximum"),IF($J69&lt;TODAY(),"Expired",$L69))))))))</x:f>
      </x:c>
    </x:row>
    <x:row r="70">
      <x:c r="A70" s="8"/>
      <x:c r="B70" s="8"/>
      <x:c r="C70" s="8"/>
      <x:c r="D70" s="8"/>
      <x:c r="E70" s="8"/>
      <x:c r="F70" s="8"/>
      <x:c r="G70" s="8"/>
      <x:c r="H70" s="8"/>
      <x:c r="I70" s="68"/>
      <x:c r="J70" s="68"/>
      <x:c r="K70" s="68"/>
      <x:c r="L70" s="8"/>
      <x:c r="M70" t="str">
        <x:f>IF($A70="","",IF(OR($L70="Closed",$L70="Revoked"),$L70,IF($B70&lt;&gt;"Temporary waiver",$L70,IF($I70="","Missing approval date",IF($J70="","Missing expiry",IF($J70&lt;=$I70,"Invalid dates",IF($J70-$I70&gt;IF('Profile'!$B$11="Baseline",180,90),IF($J70&lt;TODAY(),"Expired / over maximum","Over maximum"),IF($J70&lt;TODAY(),"Expired",$L70))))))))</x:f>
      </x:c>
    </x:row>
    <x:row r="71">
      <x:c r="A71" s="8"/>
      <x:c r="B71" s="8"/>
      <x:c r="C71" s="8"/>
      <x:c r="D71" s="8"/>
      <x:c r="E71" s="8"/>
      <x:c r="F71" s="8"/>
      <x:c r="G71" s="8"/>
      <x:c r="H71" s="8"/>
      <x:c r="I71" s="68"/>
      <x:c r="J71" s="68"/>
      <x:c r="K71" s="68"/>
      <x:c r="L71" s="8"/>
      <x:c r="M71" t="str">
        <x:f>IF($A71="","",IF(OR($L71="Closed",$L71="Revoked"),$L71,IF($B71&lt;&gt;"Temporary waiver",$L71,IF($I71="","Missing approval date",IF($J71="","Missing expiry",IF($J71&lt;=$I71,"Invalid dates",IF($J71-$I71&gt;IF('Profile'!$B$11="Baseline",180,90),IF($J71&lt;TODAY(),"Expired / over maximum","Over maximum"),IF($J71&lt;TODAY(),"Expired",$L71))))))))</x:f>
      </x:c>
    </x:row>
    <x:row r="72">
      <x:c r="A72" s="8"/>
      <x:c r="B72" s="8"/>
      <x:c r="C72" s="8"/>
      <x:c r="D72" s="8"/>
      <x:c r="E72" s="8"/>
      <x:c r="F72" s="8"/>
      <x:c r="G72" s="8"/>
      <x:c r="H72" s="8"/>
      <x:c r="I72" s="68"/>
      <x:c r="J72" s="68"/>
      <x:c r="K72" s="68"/>
      <x:c r="L72" s="8"/>
      <x:c r="M72" t="str">
        <x:f>IF($A72="","",IF(OR($L72="Closed",$L72="Revoked"),$L72,IF($B72&lt;&gt;"Temporary waiver",$L72,IF($I72="","Missing approval date",IF($J72="","Missing expiry",IF($J72&lt;=$I72,"Invalid dates",IF($J72-$I72&gt;IF('Profile'!$B$11="Baseline",180,90),IF($J72&lt;TODAY(),"Expired / over maximum","Over maximum"),IF($J72&lt;TODAY(),"Expired",$L72))))))))</x:f>
      </x:c>
    </x:row>
    <x:row r="73">
      <x:c r="A73" s="8"/>
      <x:c r="B73" s="8"/>
      <x:c r="C73" s="8"/>
      <x:c r="D73" s="8"/>
      <x:c r="E73" s="8"/>
      <x:c r="F73" s="8"/>
      <x:c r="G73" s="8"/>
      <x:c r="H73" s="8"/>
      <x:c r="I73" s="68"/>
      <x:c r="J73" s="68"/>
      <x:c r="K73" s="68"/>
      <x:c r="L73" s="8"/>
      <x:c r="M73" t="str">
        <x:f>IF($A73="","",IF(OR($L73="Closed",$L73="Revoked"),$L73,IF($B73&lt;&gt;"Temporary waiver",$L73,IF($I73="","Missing approval date",IF($J73="","Missing expiry",IF($J73&lt;=$I73,"Invalid dates",IF($J73-$I73&gt;IF('Profile'!$B$11="Baseline",180,90),IF($J73&lt;TODAY(),"Expired / over maximum","Over maximum"),IF($J73&lt;TODAY(),"Expired",$L73))))))))</x:f>
      </x:c>
    </x:row>
    <x:row r="74">
      <x:c r="A74" s="8"/>
      <x:c r="B74" s="8"/>
      <x:c r="C74" s="8"/>
      <x:c r="D74" s="8"/>
      <x:c r="E74" s="8"/>
      <x:c r="F74" s="8"/>
      <x:c r="G74" s="8"/>
      <x:c r="H74" s="8"/>
      <x:c r="I74" s="68"/>
      <x:c r="J74" s="68"/>
      <x:c r="K74" s="68"/>
      <x:c r="L74" s="8"/>
      <x:c r="M74" t="str">
        <x:f>IF($A74="","",IF(OR($L74="Closed",$L74="Revoked"),$L74,IF($B74&lt;&gt;"Temporary waiver",$L74,IF($I74="","Missing approval date",IF($J74="","Missing expiry",IF($J74&lt;=$I74,"Invalid dates",IF($J74-$I74&gt;IF('Profile'!$B$11="Baseline",180,90),IF($J74&lt;TODAY(),"Expired / over maximum","Over maximum"),IF($J74&lt;TODAY(),"Expired",$L74))))))))</x:f>
      </x:c>
    </x:row>
    <x:row r="75">
      <x:c r="A75" s="8"/>
      <x:c r="B75" s="8"/>
      <x:c r="C75" s="8"/>
      <x:c r="D75" s="8"/>
      <x:c r="E75" s="8"/>
      <x:c r="F75" s="8"/>
      <x:c r="G75" s="8"/>
      <x:c r="H75" s="8"/>
      <x:c r="I75" s="68"/>
      <x:c r="J75" s="68"/>
      <x:c r="K75" s="68"/>
      <x:c r="L75" s="8"/>
      <x:c r="M75" t="str">
        <x:f>IF($A75="","",IF(OR($L75="Closed",$L75="Revoked"),$L75,IF($B75&lt;&gt;"Temporary waiver",$L75,IF($I75="","Missing approval date",IF($J75="","Missing expiry",IF($J75&lt;=$I75,"Invalid dates",IF($J75-$I75&gt;IF('Profile'!$B$11="Baseline",180,90),IF($J75&lt;TODAY(),"Expired / over maximum","Over maximum"),IF($J75&lt;TODAY(),"Expired",$L75))))))))</x:f>
      </x:c>
    </x:row>
    <x:row r="76">
      <x:c r="A76" s="8"/>
      <x:c r="B76" s="8"/>
      <x:c r="C76" s="8"/>
      <x:c r="D76" s="8"/>
      <x:c r="E76" s="8"/>
      <x:c r="F76" s="8"/>
      <x:c r="G76" s="8"/>
      <x:c r="H76" s="8"/>
      <x:c r="I76" s="68"/>
      <x:c r="J76" s="68"/>
      <x:c r="K76" s="68"/>
      <x:c r="L76" s="8"/>
      <x:c r="M76" t="str">
        <x:f>IF($A76="","",IF(OR($L76="Closed",$L76="Revoked"),$L76,IF($B76&lt;&gt;"Temporary waiver",$L76,IF($I76="","Missing approval date",IF($J76="","Missing expiry",IF($J76&lt;=$I76,"Invalid dates",IF($J76-$I76&gt;IF('Profile'!$B$11="Baseline",180,90),IF($J76&lt;TODAY(),"Expired / over maximum","Over maximum"),IF($J76&lt;TODAY(),"Expired",$L76))))))))</x:f>
      </x:c>
    </x:row>
    <x:row r="77">
      <x:c r="A77" s="8"/>
      <x:c r="B77" s="8"/>
      <x:c r="C77" s="8"/>
      <x:c r="D77" s="8"/>
      <x:c r="E77" s="8"/>
      <x:c r="F77" s="8"/>
      <x:c r="G77" s="8"/>
      <x:c r="H77" s="8"/>
      <x:c r="I77" s="68"/>
      <x:c r="J77" s="68"/>
      <x:c r="K77" s="68"/>
      <x:c r="L77" s="8"/>
      <x:c r="M77" t="str">
        <x:f>IF($A77="","",IF(OR($L77="Closed",$L77="Revoked"),$L77,IF($B77&lt;&gt;"Temporary waiver",$L77,IF($I77="","Missing approval date",IF($J77="","Missing expiry",IF($J77&lt;=$I77,"Invalid dates",IF($J77-$I77&gt;IF('Profile'!$B$11="Baseline",180,90),IF($J77&lt;TODAY(),"Expired / over maximum","Over maximum"),IF($J77&lt;TODAY(),"Expired",$L77))))))))</x:f>
      </x:c>
    </x:row>
    <x:row r="78">
      <x:c r="A78" s="8"/>
      <x:c r="B78" s="8"/>
      <x:c r="C78" s="8"/>
      <x:c r="D78" s="8"/>
      <x:c r="E78" s="8"/>
      <x:c r="F78" s="8"/>
      <x:c r="G78" s="8"/>
      <x:c r="H78" s="8"/>
      <x:c r="I78" s="68"/>
      <x:c r="J78" s="68"/>
      <x:c r="K78" s="68"/>
      <x:c r="L78" s="8"/>
      <x:c r="M78" t="str">
        <x:f>IF($A78="","",IF(OR($L78="Closed",$L78="Revoked"),$L78,IF($B78&lt;&gt;"Temporary waiver",$L78,IF($I78="","Missing approval date",IF($J78="","Missing expiry",IF($J78&lt;=$I78,"Invalid dates",IF($J78-$I78&gt;IF('Profile'!$B$11="Baseline",180,90),IF($J78&lt;TODAY(),"Expired / over maximum","Over maximum"),IF($J78&lt;TODAY(),"Expired",$L78))))))))</x:f>
      </x:c>
    </x:row>
    <x:row r="79">
      <x:c r="A79" s="8"/>
      <x:c r="B79" s="8"/>
      <x:c r="C79" s="8"/>
      <x:c r="D79" s="8"/>
      <x:c r="E79" s="8"/>
      <x:c r="F79" s="8"/>
      <x:c r="G79" s="8"/>
      <x:c r="H79" s="8"/>
      <x:c r="I79" s="68"/>
      <x:c r="J79" s="68"/>
      <x:c r="K79" s="68"/>
      <x:c r="L79" s="8"/>
      <x:c r="M79" t="str">
        <x:f>IF($A79="","",IF(OR($L79="Closed",$L79="Revoked"),$L79,IF($B79&lt;&gt;"Temporary waiver",$L79,IF($I79="","Missing approval date",IF($J79="","Missing expiry",IF($J79&lt;=$I79,"Invalid dates",IF($J79-$I79&gt;IF('Profile'!$B$11="Baseline",180,90),IF($J79&lt;TODAY(),"Expired / over maximum","Over maximum"),IF($J79&lt;TODAY(),"Expired",$L79))))))))</x:f>
      </x:c>
    </x:row>
    <x:row r="80">
      <x:c r="A80" s="8"/>
      <x:c r="B80" s="8"/>
      <x:c r="C80" s="8"/>
      <x:c r="D80" s="8"/>
      <x:c r="E80" s="8"/>
      <x:c r="F80" s="8"/>
      <x:c r="G80" s="8"/>
      <x:c r="H80" s="8"/>
      <x:c r="I80" s="68"/>
      <x:c r="J80" s="68"/>
      <x:c r="K80" s="68"/>
      <x:c r="L80" s="8"/>
      <x:c r="M80" t="str">
        <x:f>IF($A80="","",IF(OR($L80="Closed",$L80="Revoked"),$L80,IF($B80&lt;&gt;"Temporary waiver",$L80,IF($I80="","Missing approval date",IF($J80="","Missing expiry",IF($J80&lt;=$I80,"Invalid dates",IF($J80-$I80&gt;IF('Profile'!$B$11="Baseline",180,90),IF($J80&lt;TODAY(),"Expired / over maximum","Over maximum"),IF($J80&lt;TODAY(),"Expired",$L80))))))))</x:f>
      </x:c>
    </x:row>
    <x:row r="81">
      <x:c r="A81" s="8"/>
      <x:c r="B81" s="8"/>
      <x:c r="C81" s="8"/>
      <x:c r="D81" s="8"/>
      <x:c r="E81" s="8"/>
      <x:c r="F81" s="8"/>
      <x:c r="G81" s="8"/>
      <x:c r="H81" s="8"/>
      <x:c r="I81" s="68"/>
      <x:c r="J81" s="68"/>
      <x:c r="K81" s="68"/>
      <x:c r="L81" s="8"/>
      <x:c r="M81" t="str">
        <x:f>IF($A81="","",IF(OR($L81="Closed",$L81="Revoked"),$L81,IF($B81&lt;&gt;"Temporary waiver",$L81,IF($I81="","Missing approval date",IF($J81="","Missing expiry",IF($J81&lt;=$I81,"Invalid dates",IF($J81-$I81&gt;IF('Profile'!$B$11="Baseline",180,90),IF($J81&lt;TODAY(),"Expired / over maximum","Over maximum"),IF($J81&lt;TODAY(),"Expired",$L81))))))))</x:f>
      </x:c>
    </x:row>
    <x:row r="82">
      <x:c r="A82" s="8"/>
      <x:c r="B82" s="8"/>
      <x:c r="C82" s="8"/>
      <x:c r="D82" s="8"/>
      <x:c r="E82" s="8"/>
      <x:c r="F82" s="8"/>
      <x:c r="G82" s="8"/>
      <x:c r="H82" s="8"/>
      <x:c r="I82" s="68"/>
      <x:c r="J82" s="68"/>
      <x:c r="K82" s="68"/>
      <x:c r="L82" s="8"/>
      <x:c r="M82" t="str">
        <x:f>IF($A82="","",IF(OR($L82="Closed",$L82="Revoked"),$L82,IF($B82&lt;&gt;"Temporary waiver",$L82,IF($I82="","Missing approval date",IF($J82="","Missing expiry",IF($J82&lt;=$I82,"Invalid dates",IF($J82-$I82&gt;IF('Profile'!$B$11="Baseline",180,90),IF($J82&lt;TODAY(),"Expired / over maximum","Over maximum"),IF($J82&lt;TODAY(),"Expired",$L82))))))))</x:f>
      </x:c>
    </x:row>
    <x:row r="83">
      <x:c r="A83" s="8"/>
      <x:c r="B83" s="8"/>
      <x:c r="C83" s="8"/>
      <x:c r="D83" s="8"/>
      <x:c r="E83" s="8"/>
      <x:c r="F83" s="8"/>
      <x:c r="G83" s="8"/>
      <x:c r="H83" s="8"/>
      <x:c r="I83" s="68"/>
      <x:c r="J83" s="68"/>
      <x:c r="K83" s="68"/>
      <x:c r="L83" s="8"/>
      <x:c r="M83" t="str">
        <x:f>IF($A83="","",IF(OR($L83="Closed",$L83="Revoked"),$L83,IF($B83&lt;&gt;"Temporary waiver",$L83,IF($I83="","Missing approval date",IF($J83="","Missing expiry",IF($J83&lt;=$I83,"Invalid dates",IF($J83-$I83&gt;IF('Profile'!$B$11="Baseline",180,90),IF($J83&lt;TODAY(),"Expired / over maximum","Over maximum"),IF($J83&lt;TODAY(),"Expired",$L83))))))))</x:f>
      </x:c>
    </x:row>
    <x:row r="84">
      <x:c r="A84" s="8"/>
      <x:c r="B84" s="8"/>
      <x:c r="C84" s="8"/>
      <x:c r="D84" s="8"/>
      <x:c r="E84" s="8"/>
      <x:c r="F84" s="8"/>
      <x:c r="G84" s="8"/>
      <x:c r="H84" s="8"/>
      <x:c r="I84" s="68"/>
      <x:c r="J84" s="68"/>
      <x:c r="K84" s="68"/>
      <x:c r="L84" s="8"/>
      <x:c r="M84" t="str">
        <x:f>IF($A84="","",IF(OR($L84="Closed",$L84="Revoked"),$L84,IF($B84&lt;&gt;"Temporary waiver",$L84,IF($I84="","Missing approval date",IF($J84="","Missing expiry",IF($J84&lt;=$I84,"Invalid dates",IF($J84-$I84&gt;IF('Profile'!$B$11="Baseline",180,90),IF($J84&lt;TODAY(),"Expired / over maximum","Over maximum"),IF($J84&lt;TODAY(),"Expired",$L84))))))))</x:f>
      </x:c>
    </x:row>
    <x:row r="85">
      <x:c r="A85" s="8"/>
      <x:c r="B85" s="8"/>
      <x:c r="C85" s="8"/>
      <x:c r="D85" s="8"/>
      <x:c r="E85" s="8"/>
      <x:c r="F85" s="8"/>
      <x:c r="G85" s="8"/>
      <x:c r="H85" s="8"/>
      <x:c r="I85" s="68"/>
      <x:c r="J85" s="68"/>
      <x:c r="K85" s="68"/>
      <x:c r="L85" s="8"/>
      <x:c r="M85" t="str">
        <x:f>IF($A85="","",IF(OR($L85="Closed",$L85="Revoked"),$L85,IF($B85&lt;&gt;"Temporary waiver",$L85,IF($I85="","Missing approval date",IF($J85="","Missing expiry",IF($J85&lt;=$I85,"Invalid dates",IF($J85-$I85&gt;IF('Profile'!$B$11="Baseline",180,90),IF($J85&lt;TODAY(),"Expired / over maximum","Over maximum"),IF($J85&lt;TODAY(),"Expired",$L85))))))))</x:f>
      </x:c>
    </x:row>
    <x:row r="86">
      <x:c r="A86" s="8"/>
      <x:c r="B86" s="8"/>
      <x:c r="C86" s="8"/>
      <x:c r="D86" s="8"/>
      <x:c r="E86" s="8"/>
      <x:c r="F86" s="8"/>
      <x:c r="G86" s="8"/>
      <x:c r="H86" s="8"/>
      <x:c r="I86" s="68"/>
      <x:c r="J86" s="68"/>
      <x:c r="K86" s="68"/>
      <x:c r="L86" s="8"/>
      <x:c r="M86" t="str">
        <x:f>IF($A86="","",IF(OR($L86="Closed",$L86="Revoked"),$L86,IF($B86&lt;&gt;"Temporary waiver",$L86,IF($I86="","Missing approval date",IF($J86="","Missing expiry",IF($J86&lt;=$I86,"Invalid dates",IF($J86-$I86&gt;IF('Profile'!$B$11="Baseline",180,90),IF($J86&lt;TODAY(),"Expired / over maximum","Over maximum"),IF($J86&lt;TODAY(),"Expired",$L86))))))))</x:f>
      </x:c>
    </x:row>
    <x:row r="87">
      <x:c r="A87" s="8"/>
      <x:c r="B87" s="8"/>
      <x:c r="C87" s="8"/>
      <x:c r="D87" s="8"/>
      <x:c r="E87" s="8"/>
      <x:c r="F87" s="8"/>
      <x:c r="G87" s="8"/>
      <x:c r="H87" s="8"/>
      <x:c r="I87" s="68"/>
      <x:c r="J87" s="68"/>
      <x:c r="K87" s="68"/>
      <x:c r="L87" s="8"/>
      <x:c r="M87" t="str">
        <x:f>IF($A87="","",IF(OR($L87="Closed",$L87="Revoked"),$L87,IF($B87&lt;&gt;"Temporary waiver",$L87,IF($I87="","Missing approval date",IF($J87="","Missing expiry",IF($J87&lt;=$I87,"Invalid dates",IF($J87-$I87&gt;IF('Profile'!$B$11="Baseline",180,90),IF($J87&lt;TODAY(),"Expired / over maximum","Over maximum"),IF($J87&lt;TODAY(),"Expired",$L87))))))))</x:f>
      </x:c>
    </x:row>
    <x:row r="88">
      <x:c r="A88" s="8"/>
      <x:c r="B88" s="8"/>
      <x:c r="C88" s="8"/>
      <x:c r="D88" s="8"/>
      <x:c r="E88" s="8"/>
      <x:c r="F88" s="8"/>
      <x:c r="G88" s="8"/>
      <x:c r="H88" s="8"/>
      <x:c r="I88" s="68"/>
      <x:c r="J88" s="68"/>
      <x:c r="K88" s="68"/>
      <x:c r="L88" s="8"/>
      <x:c r="M88" t="str">
        <x:f>IF($A88="","",IF(OR($L88="Closed",$L88="Revoked"),$L88,IF($B88&lt;&gt;"Temporary waiver",$L88,IF($I88="","Missing approval date",IF($J88="","Missing expiry",IF($J88&lt;=$I88,"Invalid dates",IF($J88-$I88&gt;IF('Profile'!$B$11="Baseline",180,90),IF($J88&lt;TODAY(),"Expired / over maximum","Over maximum"),IF($J88&lt;TODAY(),"Expired",$L88))))))))</x:f>
      </x:c>
    </x:row>
    <x:row r="89">
      <x:c r="A89" s="8"/>
      <x:c r="B89" s="8"/>
      <x:c r="C89" s="8"/>
      <x:c r="D89" s="8"/>
      <x:c r="E89" s="8"/>
      <x:c r="F89" s="8"/>
      <x:c r="G89" s="8"/>
      <x:c r="H89" s="8"/>
      <x:c r="I89" s="68"/>
      <x:c r="J89" s="68"/>
      <x:c r="K89" s="68"/>
      <x:c r="L89" s="8"/>
      <x:c r="M89" t="str">
        <x:f>IF($A89="","",IF(OR($L89="Closed",$L89="Revoked"),$L89,IF($B89&lt;&gt;"Temporary waiver",$L89,IF($I89="","Missing approval date",IF($J89="","Missing expiry",IF($J89&lt;=$I89,"Invalid dates",IF($J89-$I89&gt;IF('Profile'!$B$11="Baseline",180,90),IF($J89&lt;TODAY(),"Expired / over maximum","Over maximum"),IF($J89&lt;TODAY(),"Expired",$L89))))))))</x:f>
      </x:c>
    </x:row>
    <x:row r="90">
      <x:c r="A90" s="8"/>
      <x:c r="B90" s="8"/>
      <x:c r="C90" s="8"/>
      <x:c r="D90" s="8"/>
      <x:c r="E90" s="8"/>
      <x:c r="F90" s="8"/>
      <x:c r="G90" s="8"/>
      <x:c r="H90" s="8"/>
      <x:c r="I90" s="68"/>
      <x:c r="J90" s="68"/>
      <x:c r="K90" s="68"/>
      <x:c r="L90" s="8"/>
      <x:c r="M90" t="str">
        <x:f>IF($A90="","",IF(OR($L90="Closed",$L90="Revoked"),$L90,IF($B90&lt;&gt;"Temporary waiver",$L90,IF($I90="","Missing approval date",IF($J90="","Missing expiry",IF($J90&lt;=$I90,"Invalid dates",IF($J90-$I90&gt;IF('Profile'!$B$11="Baseline",180,90),IF($J90&lt;TODAY(),"Expired / over maximum","Over maximum"),IF($J90&lt;TODAY(),"Expired",$L90))))))))</x:f>
      </x:c>
    </x:row>
    <x:row r="91">
      <x:c r="A91" s="8"/>
      <x:c r="B91" s="8"/>
      <x:c r="C91" s="8"/>
      <x:c r="D91" s="8"/>
      <x:c r="E91" s="8"/>
      <x:c r="F91" s="8"/>
      <x:c r="G91" s="8"/>
      <x:c r="H91" s="8"/>
      <x:c r="I91" s="68"/>
      <x:c r="J91" s="68"/>
      <x:c r="K91" s="68"/>
      <x:c r="L91" s="8"/>
      <x:c r="M91" t="str">
        <x:f>IF($A91="","",IF(OR($L91="Closed",$L91="Revoked"),$L91,IF($B91&lt;&gt;"Temporary waiver",$L91,IF($I91="","Missing approval date",IF($J91="","Missing expiry",IF($J91&lt;=$I91,"Invalid dates",IF($J91-$I91&gt;IF('Profile'!$B$11="Baseline",180,90),IF($J91&lt;TODAY(),"Expired / over maximum","Over maximum"),IF($J91&lt;TODAY(),"Expired",$L91))))))))</x:f>
      </x:c>
    </x:row>
    <x:row r="92">
      <x:c r="A92" s="8"/>
      <x:c r="B92" s="8"/>
      <x:c r="C92" s="8"/>
      <x:c r="D92" s="8"/>
      <x:c r="E92" s="8"/>
      <x:c r="F92" s="8"/>
      <x:c r="G92" s="8"/>
      <x:c r="H92" s="8"/>
      <x:c r="I92" s="68"/>
      <x:c r="J92" s="68"/>
      <x:c r="K92" s="68"/>
      <x:c r="L92" s="8"/>
      <x:c r="M92" t="str">
        <x:f>IF($A92="","",IF(OR($L92="Closed",$L92="Revoked"),$L92,IF($B92&lt;&gt;"Temporary waiver",$L92,IF($I92="","Missing approval date",IF($J92="","Missing expiry",IF($J92&lt;=$I92,"Invalid dates",IF($J92-$I92&gt;IF('Profile'!$B$11="Baseline",180,90),IF($J92&lt;TODAY(),"Expired / over maximum","Over maximum"),IF($J92&lt;TODAY(),"Expired",$L92))))))))</x:f>
      </x:c>
    </x:row>
    <x:row r="93">
      <x:c r="A93" s="8"/>
      <x:c r="B93" s="8"/>
      <x:c r="C93" s="8"/>
      <x:c r="D93" s="8"/>
      <x:c r="E93" s="8"/>
      <x:c r="F93" s="8"/>
      <x:c r="G93" s="8"/>
      <x:c r="H93" s="8"/>
      <x:c r="I93" s="68"/>
      <x:c r="J93" s="68"/>
      <x:c r="K93" s="68"/>
      <x:c r="L93" s="8"/>
      <x:c r="M93" t="str">
        <x:f>IF($A93="","",IF(OR($L93="Closed",$L93="Revoked"),$L93,IF($B93&lt;&gt;"Temporary waiver",$L93,IF($I93="","Missing approval date",IF($J93="","Missing expiry",IF($J93&lt;=$I93,"Invalid dates",IF($J93-$I93&gt;IF('Profile'!$B$11="Baseline",180,90),IF($J93&lt;TODAY(),"Expired / over maximum","Over maximum"),IF($J93&lt;TODAY(),"Expired",$L93))))))))</x:f>
      </x:c>
    </x:row>
    <x:row r="94">
      <x:c r="A94" s="8"/>
      <x:c r="B94" s="8"/>
      <x:c r="C94" s="8"/>
      <x:c r="D94" s="8"/>
      <x:c r="E94" s="8"/>
      <x:c r="F94" s="8"/>
      <x:c r="G94" s="8"/>
      <x:c r="H94" s="8"/>
      <x:c r="I94" s="68"/>
      <x:c r="J94" s="68"/>
      <x:c r="K94" s="68"/>
      <x:c r="L94" s="8"/>
      <x:c r="M94" t="str">
        <x:f>IF($A94="","",IF(OR($L94="Closed",$L94="Revoked"),$L94,IF($B94&lt;&gt;"Temporary waiver",$L94,IF($I94="","Missing approval date",IF($J94="","Missing expiry",IF($J94&lt;=$I94,"Invalid dates",IF($J94-$I94&gt;IF('Profile'!$B$11="Baseline",180,90),IF($J94&lt;TODAY(),"Expired / over maximum","Over maximum"),IF($J94&lt;TODAY(),"Expired",$L94))))))))</x:f>
      </x:c>
    </x:row>
    <x:row r="95">
      <x:c r="A95" s="8"/>
      <x:c r="B95" s="8"/>
      <x:c r="C95" s="8"/>
      <x:c r="D95" s="8"/>
      <x:c r="E95" s="8"/>
      <x:c r="F95" s="8"/>
      <x:c r="G95" s="8"/>
      <x:c r="H95" s="8"/>
      <x:c r="I95" s="68"/>
      <x:c r="J95" s="68"/>
      <x:c r="K95" s="68"/>
      <x:c r="L95" s="8"/>
      <x:c r="M95" t="str">
        <x:f>IF($A95="","",IF(OR($L95="Closed",$L95="Revoked"),$L95,IF($B95&lt;&gt;"Temporary waiver",$L95,IF($I95="","Missing approval date",IF($J95="","Missing expiry",IF($J95&lt;=$I95,"Invalid dates",IF($J95-$I95&gt;IF('Profile'!$B$11="Baseline",180,90),IF($J95&lt;TODAY(),"Expired / over maximum","Over maximum"),IF($J95&lt;TODAY(),"Expired",$L95))))))))</x:f>
      </x:c>
    </x:row>
    <x:row r="96">
      <x:c r="A96" s="8"/>
      <x:c r="B96" s="8"/>
      <x:c r="C96" s="8"/>
      <x:c r="D96" s="8"/>
      <x:c r="E96" s="8"/>
      <x:c r="F96" s="8"/>
      <x:c r="G96" s="8"/>
      <x:c r="H96" s="8"/>
      <x:c r="I96" s="68"/>
      <x:c r="J96" s="68"/>
      <x:c r="K96" s="68"/>
      <x:c r="L96" s="8"/>
      <x:c r="M96" t="str">
        <x:f>IF($A96="","",IF(OR($L96="Closed",$L96="Revoked"),$L96,IF($B96&lt;&gt;"Temporary waiver",$L96,IF($I96="","Missing approval date",IF($J96="","Missing expiry",IF($J96&lt;=$I96,"Invalid dates",IF($J96-$I96&gt;IF('Profile'!$B$11="Baseline",180,90),IF($J96&lt;TODAY(),"Expired / over maximum","Over maximum"),IF($J96&lt;TODAY(),"Expired",$L96))))))))</x:f>
      </x:c>
    </x:row>
    <x:row r="97">
      <x:c r="A97" s="8"/>
      <x:c r="B97" s="8"/>
      <x:c r="C97" s="8"/>
      <x:c r="D97" s="8"/>
      <x:c r="E97" s="8"/>
      <x:c r="F97" s="8"/>
      <x:c r="G97" s="8"/>
      <x:c r="H97" s="8"/>
      <x:c r="I97" s="68"/>
      <x:c r="J97" s="68"/>
      <x:c r="K97" s="68"/>
      <x:c r="L97" s="8"/>
      <x:c r="M97" t="str">
        <x:f>IF($A97="","",IF(OR($L97="Closed",$L97="Revoked"),$L97,IF($B97&lt;&gt;"Temporary waiver",$L97,IF($I97="","Missing approval date",IF($J97="","Missing expiry",IF($J97&lt;=$I97,"Invalid dates",IF($J97-$I97&gt;IF('Profile'!$B$11="Baseline",180,90),IF($J97&lt;TODAY(),"Expired / over maximum","Over maximum"),IF($J97&lt;TODAY(),"Expired",$L97))))))))</x:f>
      </x:c>
    </x:row>
    <x:row r="98">
      <x:c r="A98" s="8"/>
      <x:c r="B98" s="8"/>
      <x:c r="C98" s="8"/>
      <x:c r="D98" s="8"/>
      <x:c r="E98" s="8"/>
      <x:c r="F98" s="8"/>
      <x:c r="G98" s="8"/>
      <x:c r="H98" s="8"/>
      <x:c r="I98" s="68"/>
      <x:c r="J98" s="68"/>
      <x:c r="K98" s="68"/>
      <x:c r="L98" s="8"/>
      <x:c r="M98" t="str">
        <x:f>IF($A98="","",IF(OR($L98="Closed",$L98="Revoked"),$L98,IF($B98&lt;&gt;"Temporary waiver",$L98,IF($I98="","Missing approval date",IF($J98="","Missing expiry",IF($J98&lt;=$I98,"Invalid dates",IF($J98-$I98&gt;IF('Profile'!$B$11="Baseline",180,90),IF($J98&lt;TODAY(),"Expired / over maximum","Over maximum"),IF($J98&lt;TODAY(),"Expired",$L98))))))))</x:f>
      </x:c>
    </x:row>
    <x:row r="99">
      <x:c r="A99" s="8"/>
      <x:c r="B99" s="8"/>
      <x:c r="C99" s="8"/>
      <x:c r="D99" s="8"/>
      <x:c r="E99" s="8"/>
      <x:c r="F99" s="8"/>
      <x:c r="G99" s="8"/>
      <x:c r="H99" s="8"/>
      <x:c r="I99" s="68"/>
      <x:c r="J99" s="68"/>
      <x:c r="K99" s="68"/>
      <x:c r="L99" s="8"/>
      <x:c r="M99" t="str">
        <x:f>IF($A99="","",IF(OR($L99="Closed",$L99="Revoked"),$L99,IF($B99&lt;&gt;"Temporary waiver",$L99,IF($I99="","Missing approval date",IF($J99="","Missing expiry",IF($J99&lt;=$I99,"Invalid dates",IF($J99-$I99&gt;IF('Profile'!$B$11="Baseline",180,90),IF($J99&lt;TODAY(),"Expired / over maximum","Over maximum"),IF($J99&lt;TODAY(),"Expired",$L99))))))))</x:f>
      </x:c>
    </x:row>
    <x:row r="100">
      <x:c r="A100" s="8"/>
      <x:c r="B100" s="8"/>
      <x:c r="C100" s="8"/>
      <x:c r="D100" s="8"/>
      <x:c r="E100" s="8"/>
      <x:c r="F100" s="8"/>
      <x:c r="G100" s="8"/>
      <x:c r="H100" s="8"/>
      <x:c r="I100" s="68"/>
      <x:c r="J100" s="68"/>
      <x:c r="K100" s="68"/>
      <x:c r="L100" s="8"/>
      <x:c r="M100" t="str">
        <x:f>IF($A100="","",IF(OR($L100="Closed",$L100="Revoked"),$L100,IF($B100&lt;&gt;"Temporary waiver",$L100,IF($I100="","Missing approval date",IF($J100="","Missing expiry",IF($J100&lt;=$I100,"Invalid dates",IF($J100-$I100&gt;IF('Profile'!$B$11="Baseline",180,90),IF($J100&lt;TODAY(),"Expired / over maximum","Over maximum"),IF($J100&lt;TODAY(),"Expired",$L100))))))))</x:f>
      </x:c>
    </x:row>
    <x:row r="101">
      <x:c r="A101" s="8"/>
      <x:c r="B101" s="8"/>
      <x:c r="C101" s="8"/>
      <x:c r="D101" s="8"/>
      <x:c r="E101" s="8"/>
      <x:c r="F101" s="8"/>
      <x:c r="G101" s="8"/>
      <x:c r="H101" s="8"/>
      <x:c r="I101" s="68"/>
      <x:c r="J101" s="68"/>
      <x:c r="K101" s="68"/>
      <x:c r="L101" s="8"/>
      <x:c r="M101" t="str">
        <x:f>IF($A101="","",IF(OR($L101="Closed",$L101="Revoked"),$L101,IF($B101&lt;&gt;"Temporary waiver",$L101,IF($I101="","Missing approval date",IF($J101="","Missing expiry",IF($J101&lt;=$I101,"Invalid dates",IF($J101-$I101&gt;IF('Profile'!$B$11="Baseline",180,90),IF($J101&lt;TODAY(),"Expired / over maximum","Over maximum"),IF($J101&lt;TODAY(),"Expired",$L101))))))))</x:f>
      </x:c>
    </x:row>
    <x:row r="102">
      <x:c r="A102" s="8"/>
      <x:c r="B102" s="8"/>
      <x:c r="C102" s="8"/>
      <x:c r="D102" s="8"/>
      <x:c r="E102" s="8"/>
      <x:c r="F102" s="8"/>
      <x:c r="G102" s="8"/>
      <x:c r="H102" s="8"/>
      <x:c r="I102" s="68"/>
      <x:c r="J102" s="68"/>
      <x:c r="K102" s="68"/>
      <x:c r="L102" s="8"/>
      <x:c r="M102" t="str">
        <x:f>IF($A102="","",IF(OR($L102="Closed",$L102="Revoked"),$L102,IF($B102&lt;&gt;"Temporary waiver",$L102,IF($I102="","Missing approval date",IF($J102="","Missing expiry",IF($J102&lt;=$I102,"Invalid dates",IF($J102-$I102&gt;IF('Profile'!$B$11="Baseline",180,90),IF($J102&lt;TODAY(),"Expired / over maximum","Over maximum"),IF($J102&lt;TODAY(),"Expired",$L102))))))))</x:f>
      </x:c>
    </x:row>
    <x:row r="103">
      <x:c r="A103" s="8"/>
      <x:c r="B103" s="8"/>
      <x:c r="C103" s="8"/>
      <x:c r="D103" s="8"/>
      <x:c r="E103" s="8"/>
      <x:c r="F103" s="8"/>
      <x:c r="G103" s="8"/>
      <x:c r="H103" s="8"/>
      <x:c r="I103" s="68"/>
      <x:c r="J103" s="68"/>
      <x:c r="K103" s="68"/>
      <x:c r="L103" s="8"/>
      <x:c r="M103" t="str">
        <x:f>IF($A103="","",IF(OR($L103="Closed",$L103="Revoked"),$L103,IF($B103&lt;&gt;"Temporary waiver",$L103,IF($I103="","Missing approval date",IF($J103="","Missing expiry",IF($J103&lt;=$I103,"Invalid dates",IF($J103-$I103&gt;IF('Profile'!$B$11="Baseline",180,90),IF($J103&lt;TODAY(),"Expired / over maximum","Over maximum"),IF($J103&lt;TODAY(),"Expired",$L103))))))))</x:f>
      </x:c>
    </x:row>
    <x:row r="104">
      <x:c r="A104" s="8"/>
      <x:c r="B104" s="8"/>
      <x:c r="C104" s="8"/>
      <x:c r="D104" s="8"/>
      <x:c r="E104" s="8"/>
      <x:c r="F104" s="8"/>
      <x:c r="G104" s="8"/>
      <x:c r="H104" s="8"/>
      <x:c r="I104" s="68"/>
      <x:c r="J104" s="68"/>
      <x:c r="K104" s="68"/>
      <x:c r="L104" s="8"/>
      <x:c r="M104" t="str">
        <x:f>IF($A104="","",IF(OR($L104="Closed",$L104="Revoked"),$L104,IF($B104&lt;&gt;"Temporary waiver",$L104,IF($I104="","Missing approval date",IF($J104="","Missing expiry",IF($J104&lt;=$I104,"Invalid dates",IF($J104-$I104&gt;IF('Profile'!$B$11="Baseline",180,90),IF($J104&lt;TODAY(),"Expired / over maximum","Over maximum"),IF($J104&lt;TODAY(),"Expired",$L104))))))))</x:f>
      </x:c>
    </x:row>
    <x:row r="105">
      <x:c r="A105" s="8"/>
      <x:c r="B105" s="8"/>
      <x:c r="C105" s="8"/>
      <x:c r="D105" s="8"/>
      <x:c r="E105" s="8"/>
      <x:c r="F105" s="8"/>
      <x:c r="G105" s="8"/>
      <x:c r="H105" s="8"/>
      <x:c r="I105" s="68"/>
      <x:c r="J105" s="68"/>
      <x:c r="K105" s="68"/>
      <x:c r="L105" s="8"/>
      <x:c r="M105" t="str">
        <x:f>IF($A105="","",IF(OR($L105="Closed",$L105="Revoked"),$L105,IF($B105&lt;&gt;"Temporary waiver",$L105,IF($I105="","Missing approval date",IF($J105="","Missing expiry",IF($J105&lt;=$I105,"Invalid dates",IF($J105-$I105&gt;IF('Profile'!$B$11="Baseline",180,90),IF($J105&lt;TODAY(),"Expired / over maximum","Over maximum"),IF($J105&lt;TODAY(),"Expired",$L105))))))))</x:f>
      </x:c>
    </x:row>
    <x:row r="106">
      <x:c r="A106" s="8"/>
      <x:c r="B106" s="8"/>
      <x:c r="C106" s="8"/>
      <x:c r="D106" s="8"/>
      <x:c r="E106" s="8"/>
      <x:c r="F106" s="8"/>
      <x:c r="G106" s="8"/>
      <x:c r="H106" s="8"/>
      <x:c r="I106" s="68"/>
      <x:c r="J106" s="68"/>
      <x:c r="K106" s="68"/>
      <x:c r="L106" s="8"/>
      <x:c r="M106" t="str">
        <x:f>IF($A106="","",IF(OR($L106="Closed",$L106="Revoked"),$L106,IF($B106&lt;&gt;"Temporary waiver",$L106,IF($I106="","Missing approval date",IF($J106="","Missing expiry",IF($J106&lt;=$I106,"Invalid dates",IF($J106-$I106&gt;IF('Profile'!$B$11="Baseline",180,90),IF($J106&lt;TODAY(),"Expired / over maximum","Over maximum"),IF($J106&lt;TODAY(),"Expired",$L106))))))))</x:f>
      </x:c>
    </x:row>
    <x:row r="107">
      <x:c r="A107" s="8"/>
      <x:c r="B107" s="8"/>
      <x:c r="C107" s="8"/>
      <x:c r="D107" s="8"/>
      <x:c r="E107" s="8"/>
      <x:c r="F107" s="8"/>
      <x:c r="G107" s="8"/>
      <x:c r="H107" s="8"/>
      <x:c r="I107" s="68"/>
      <x:c r="J107" s="68"/>
      <x:c r="K107" s="68"/>
      <x:c r="L107" s="8"/>
      <x:c r="M107" t="str">
        <x:f>IF($A107="","",IF(OR($L107="Closed",$L107="Revoked"),$L107,IF($B107&lt;&gt;"Temporary waiver",$L107,IF($I107="","Missing approval date",IF($J107="","Missing expiry",IF($J107&lt;=$I107,"Invalid dates",IF($J107-$I107&gt;IF('Profile'!$B$11="Baseline",180,90),IF($J107&lt;TODAY(),"Expired / over maximum","Over maximum"),IF($J107&lt;TODAY(),"Expired",$L107))))))))</x:f>
      </x:c>
    </x:row>
    <x:row r="108">
      <x:c r="A108" s="8"/>
      <x:c r="B108" s="8"/>
      <x:c r="C108" s="8"/>
      <x:c r="D108" s="8"/>
      <x:c r="E108" s="8"/>
      <x:c r="F108" s="8"/>
      <x:c r="G108" s="8"/>
      <x:c r="H108" s="8"/>
      <x:c r="I108" s="68"/>
      <x:c r="J108" s="68"/>
      <x:c r="K108" s="68"/>
      <x:c r="L108" s="8"/>
      <x:c r="M108" t="str">
        <x:f>IF($A108="","",IF(OR($L108="Closed",$L108="Revoked"),$L108,IF($B108&lt;&gt;"Temporary waiver",$L108,IF($I108="","Missing approval date",IF($J108="","Missing expiry",IF($J108&lt;=$I108,"Invalid dates",IF($J108-$I108&gt;IF('Profile'!$B$11="Baseline",180,90),IF($J108&lt;TODAY(),"Expired / over maximum","Over maximum"),IF($J108&lt;TODAY(),"Expired",$L108))))))))</x:f>
      </x:c>
    </x:row>
    <x:row r="109">
      <x:c r="A109" s="8"/>
      <x:c r="B109" s="8"/>
      <x:c r="C109" s="8"/>
      <x:c r="D109" s="8"/>
      <x:c r="E109" s="8"/>
      <x:c r="F109" s="8"/>
      <x:c r="G109" s="8"/>
      <x:c r="H109" s="8"/>
      <x:c r="I109" s="68"/>
      <x:c r="J109" s="68"/>
      <x:c r="K109" s="68"/>
      <x:c r="L109" s="8"/>
      <x:c r="M109" t="str">
        <x:f>IF($A109="","",IF(OR($L109="Closed",$L109="Revoked"),$L109,IF($B109&lt;&gt;"Temporary waiver",$L109,IF($I109="","Missing approval date",IF($J109="","Missing expiry",IF($J109&lt;=$I109,"Invalid dates",IF($J109-$I109&gt;IF('Profile'!$B$11="Baseline",180,90),IF($J109&lt;TODAY(),"Expired / over maximum","Over maximum"),IF($J109&lt;TODAY(),"Expired",$L109))))))))</x:f>
      </x:c>
    </x:row>
    <x:row r="110">
      <x:c r="A110" s="8"/>
      <x:c r="B110" s="8"/>
      <x:c r="C110" s="8"/>
      <x:c r="D110" s="8"/>
      <x:c r="E110" s="8"/>
      <x:c r="F110" s="8"/>
      <x:c r="G110" s="8"/>
      <x:c r="H110" s="8"/>
      <x:c r="I110" s="68"/>
      <x:c r="J110" s="68"/>
      <x:c r="K110" s="68"/>
      <x:c r="L110" s="8"/>
      <x:c r="M110" t="str">
        <x:f>IF($A110="","",IF(OR($L110="Closed",$L110="Revoked"),$L110,IF($B110&lt;&gt;"Temporary waiver",$L110,IF($I110="","Missing approval date",IF($J110="","Missing expiry",IF($J110&lt;=$I110,"Invalid dates",IF($J110-$I110&gt;IF('Profile'!$B$11="Baseline",180,90),IF($J110&lt;TODAY(),"Expired / over maximum","Over maximum"),IF($J110&lt;TODAY(),"Expired",$L110))))))))</x:f>
      </x:c>
    </x:row>
    <x:row r="111">
      <x:c r="A111" s="8"/>
      <x:c r="B111" s="8"/>
      <x:c r="C111" s="8"/>
      <x:c r="D111" s="8"/>
      <x:c r="E111" s="8"/>
      <x:c r="F111" s="8"/>
      <x:c r="G111" s="8"/>
      <x:c r="H111" s="8"/>
      <x:c r="I111" s="68"/>
      <x:c r="J111" s="68"/>
      <x:c r="K111" s="68"/>
      <x:c r="L111" s="8"/>
      <x:c r="M111" t="str">
        <x:f>IF($A111="","",IF(OR($L111="Closed",$L111="Revoked"),$L111,IF($B111&lt;&gt;"Temporary waiver",$L111,IF($I111="","Missing approval date",IF($J111="","Missing expiry",IF($J111&lt;=$I111,"Invalid dates",IF($J111-$I111&gt;IF('Profile'!$B$11="Baseline",180,90),IF($J111&lt;TODAY(),"Expired / over maximum","Over maximum"),IF($J111&lt;TODAY(),"Expired",$L111))))))))</x:f>
      </x:c>
    </x:row>
    <x:row r="112">
      <x:c r="A112" s="8"/>
      <x:c r="B112" s="8"/>
      <x:c r="C112" s="8"/>
      <x:c r="D112" s="8"/>
      <x:c r="E112" s="8"/>
      <x:c r="F112" s="8"/>
      <x:c r="G112" s="8"/>
      <x:c r="H112" s="8"/>
      <x:c r="I112" s="68"/>
      <x:c r="J112" s="68"/>
      <x:c r="K112" s="68"/>
      <x:c r="L112" s="8"/>
      <x:c r="M112" t="str">
        <x:f>IF($A112="","",IF(OR($L112="Closed",$L112="Revoked"),$L112,IF($B112&lt;&gt;"Temporary waiver",$L112,IF($I112="","Missing approval date",IF($J112="","Missing expiry",IF($J112&lt;=$I112,"Invalid dates",IF($J112-$I112&gt;IF('Profile'!$B$11="Baseline",180,90),IF($J112&lt;TODAY(),"Expired / over maximum","Over maximum"),IF($J112&lt;TODAY(),"Expired",$L112))))))))</x:f>
      </x:c>
    </x:row>
    <x:row r="113">
      <x:c r="A113" s="8"/>
      <x:c r="B113" s="8"/>
      <x:c r="C113" s="8"/>
      <x:c r="D113" s="8"/>
      <x:c r="E113" s="8"/>
      <x:c r="F113" s="8"/>
      <x:c r="G113" s="8"/>
      <x:c r="H113" s="8"/>
      <x:c r="I113" s="68"/>
      <x:c r="J113" s="68"/>
      <x:c r="K113" s="68"/>
      <x:c r="L113" s="8"/>
      <x:c r="M113" t="str">
        <x:f>IF($A113="","",IF(OR($L113="Closed",$L113="Revoked"),$L113,IF($B113&lt;&gt;"Temporary waiver",$L113,IF($I113="","Missing approval date",IF($J113="","Missing expiry",IF($J113&lt;=$I113,"Invalid dates",IF($J113-$I113&gt;IF('Profile'!$B$11="Baseline",180,90),IF($J113&lt;TODAY(),"Expired / over maximum","Over maximum"),IF($J113&lt;TODAY(),"Expired",$L113))))))))</x:f>
      </x:c>
    </x:row>
    <x:row r="114">
      <x:c r="A114" s="8"/>
      <x:c r="B114" s="8"/>
      <x:c r="C114" s="8"/>
      <x:c r="D114" s="8"/>
      <x:c r="E114" s="8"/>
      <x:c r="F114" s="8"/>
      <x:c r="G114" s="8"/>
      <x:c r="H114" s="8"/>
      <x:c r="I114" s="68"/>
      <x:c r="J114" s="68"/>
      <x:c r="K114" s="68"/>
      <x:c r="L114" s="8"/>
      <x:c r="M114" t="str">
        <x:f>IF($A114="","",IF(OR($L114="Closed",$L114="Revoked"),$L114,IF($B114&lt;&gt;"Temporary waiver",$L114,IF($I114="","Missing approval date",IF($J114="","Missing expiry",IF($J114&lt;=$I114,"Invalid dates",IF($J114-$I114&gt;IF('Profile'!$B$11="Baseline",180,90),IF($J114&lt;TODAY(),"Expired / over maximum","Over maximum"),IF($J114&lt;TODAY(),"Expired",$L114))))))))</x:f>
      </x:c>
    </x:row>
    <x:row r="115">
      <x:c r="A115" s="8"/>
      <x:c r="B115" s="8"/>
      <x:c r="C115" s="8"/>
      <x:c r="D115" s="8"/>
      <x:c r="E115" s="8"/>
      <x:c r="F115" s="8"/>
      <x:c r="G115" s="8"/>
      <x:c r="H115" s="8"/>
      <x:c r="I115" s="68"/>
      <x:c r="J115" s="68"/>
      <x:c r="K115" s="68"/>
      <x:c r="L115" s="8"/>
      <x:c r="M115" t="str">
        <x:f>IF($A115="","",IF(OR($L115="Closed",$L115="Revoked"),$L115,IF($B115&lt;&gt;"Temporary waiver",$L115,IF($I115="","Missing approval date",IF($J115="","Missing expiry",IF($J115&lt;=$I115,"Invalid dates",IF($J115-$I115&gt;IF('Profile'!$B$11="Baseline",180,90),IF($J115&lt;TODAY(),"Expired / over maximum","Over maximum"),IF($J115&lt;TODAY(),"Expired",$L115))))))))</x:f>
      </x:c>
    </x:row>
    <x:row r="116">
      <x:c r="A116" s="8"/>
      <x:c r="B116" s="8"/>
      <x:c r="C116" s="8"/>
      <x:c r="D116" s="8"/>
      <x:c r="E116" s="8"/>
      <x:c r="F116" s="8"/>
      <x:c r="G116" s="8"/>
      <x:c r="H116" s="8"/>
      <x:c r="I116" s="68"/>
      <x:c r="J116" s="68"/>
      <x:c r="K116" s="68"/>
      <x:c r="L116" s="8"/>
      <x:c r="M116" t="str">
        <x:f>IF($A116="","",IF(OR($L116="Closed",$L116="Revoked"),$L116,IF($B116&lt;&gt;"Temporary waiver",$L116,IF($I116="","Missing approval date",IF($J116="","Missing expiry",IF($J116&lt;=$I116,"Invalid dates",IF($J116-$I116&gt;IF('Profile'!$B$11="Baseline",180,90),IF($J116&lt;TODAY(),"Expired / over maximum","Over maximum"),IF($J116&lt;TODAY(),"Expired",$L116))))))))</x:f>
      </x:c>
    </x:row>
    <x:row r="117">
      <x:c r="A117" s="8"/>
      <x:c r="B117" s="8"/>
      <x:c r="C117" s="8"/>
      <x:c r="D117" s="8"/>
      <x:c r="E117" s="8"/>
      <x:c r="F117" s="8"/>
      <x:c r="G117" s="8"/>
      <x:c r="H117" s="8"/>
      <x:c r="I117" s="68"/>
      <x:c r="J117" s="68"/>
      <x:c r="K117" s="68"/>
      <x:c r="L117" s="8"/>
      <x:c r="M117" t="str">
        <x:f>IF($A117="","",IF(OR($L117="Closed",$L117="Revoked"),$L117,IF($B117&lt;&gt;"Temporary waiver",$L117,IF($I117="","Missing approval date",IF($J117="","Missing expiry",IF($J117&lt;=$I117,"Invalid dates",IF($J117-$I117&gt;IF('Profile'!$B$11="Baseline",180,90),IF($J117&lt;TODAY(),"Expired / over maximum","Over maximum"),IF($J117&lt;TODAY(),"Expired",$L117))))))))</x:f>
      </x:c>
    </x:row>
    <x:row r="118">
      <x:c r="A118" s="8"/>
      <x:c r="B118" s="8"/>
      <x:c r="C118" s="8"/>
      <x:c r="D118" s="8"/>
      <x:c r="E118" s="8"/>
      <x:c r="F118" s="8"/>
      <x:c r="G118" s="8"/>
      <x:c r="H118" s="8"/>
      <x:c r="I118" s="68"/>
      <x:c r="J118" s="68"/>
      <x:c r="K118" s="68"/>
      <x:c r="L118" s="8"/>
      <x:c r="M118" t="str">
        <x:f>IF($A118="","",IF(OR($L118="Closed",$L118="Revoked"),$L118,IF($B118&lt;&gt;"Temporary waiver",$L118,IF($I118="","Missing approval date",IF($J118="","Missing expiry",IF($J118&lt;=$I118,"Invalid dates",IF($J118-$I118&gt;IF('Profile'!$B$11="Baseline",180,90),IF($J118&lt;TODAY(),"Expired / over maximum","Over maximum"),IF($J118&lt;TODAY(),"Expired",$L118))))))))</x:f>
      </x:c>
    </x:row>
    <x:row r="119">
      <x:c r="A119" s="8"/>
      <x:c r="B119" s="8"/>
      <x:c r="C119" s="8"/>
      <x:c r="D119" s="8"/>
      <x:c r="E119" s="8"/>
      <x:c r="F119" s="8"/>
      <x:c r="G119" s="8"/>
      <x:c r="H119" s="8"/>
      <x:c r="I119" s="68"/>
      <x:c r="J119" s="68"/>
      <x:c r="K119" s="68"/>
      <x:c r="L119" s="8"/>
      <x:c r="M119" t="str">
        <x:f>IF($A119="","",IF(OR($L119="Closed",$L119="Revoked"),$L119,IF($B119&lt;&gt;"Temporary waiver",$L119,IF($I119="","Missing approval date",IF($J119="","Missing expiry",IF($J119&lt;=$I119,"Invalid dates",IF($J119-$I119&gt;IF('Profile'!$B$11="Baseline",180,90),IF($J119&lt;TODAY(),"Expired / over maximum","Over maximum"),IF($J119&lt;TODAY(),"Expired",$L119))))))))</x:f>
      </x:c>
    </x:row>
    <x:row r="120">
      <x:c r="A120" s="8"/>
      <x:c r="B120" s="8"/>
      <x:c r="C120" s="8"/>
      <x:c r="D120" s="8"/>
      <x:c r="E120" s="8"/>
      <x:c r="F120" s="8"/>
      <x:c r="G120" s="8"/>
      <x:c r="H120" s="8"/>
      <x:c r="I120" s="68"/>
      <x:c r="J120" s="68"/>
      <x:c r="K120" s="68"/>
      <x:c r="L120" s="8"/>
      <x:c r="M120" t="str">
        <x:f>IF($A120="","",IF(OR($L120="Closed",$L120="Revoked"),$L120,IF($B120&lt;&gt;"Temporary waiver",$L120,IF($I120="","Missing approval date",IF($J120="","Missing expiry",IF($J120&lt;=$I120,"Invalid dates",IF($J120-$I120&gt;IF('Profile'!$B$11="Baseline",180,90),IF($J120&lt;TODAY(),"Expired / over maximum","Over maximum"),IF($J120&lt;TODAY(),"Expired",$L120))))))))</x:f>
      </x:c>
    </x:row>
    <x:row r="121">
      <x:c r="A121" s="8"/>
      <x:c r="B121" s="8"/>
      <x:c r="C121" s="8"/>
      <x:c r="D121" s="8"/>
      <x:c r="E121" s="8"/>
      <x:c r="F121" s="8"/>
      <x:c r="G121" s="8"/>
      <x:c r="H121" s="8"/>
      <x:c r="I121" s="68"/>
      <x:c r="J121" s="68"/>
      <x:c r="K121" s="68"/>
      <x:c r="L121" s="8"/>
      <x:c r="M121" t="str">
        <x:f>IF($A121="","",IF(OR($L121="Closed",$L121="Revoked"),$L121,IF($B121&lt;&gt;"Temporary waiver",$L121,IF($I121="","Missing approval date",IF($J121="","Missing expiry",IF($J121&lt;=$I121,"Invalid dates",IF($J121-$I121&gt;IF('Profile'!$B$11="Baseline",180,90),IF($J121&lt;TODAY(),"Expired / over maximum","Over maximum"),IF($J121&lt;TODAY(),"Expired",$L121))))))))</x:f>
      </x:c>
    </x:row>
    <x:row r="122">
      <x:c r="A122" s="8"/>
      <x:c r="B122" s="8"/>
      <x:c r="C122" s="8"/>
      <x:c r="D122" s="8"/>
      <x:c r="E122" s="8"/>
      <x:c r="F122" s="8"/>
      <x:c r="G122" s="8"/>
      <x:c r="H122" s="8"/>
      <x:c r="I122" s="68"/>
      <x:c r="J122" s="68"/>
      <x:c r="K122" s="68"/>
      <x:c r="L122" s="8"/>
      <x:c r="M122" t="str">
        <x:f>IF($A122="","",IF(OR($L122="Closed",$L122="Revoked"),$L122,IF($B122&lt;&gt;"Temporary waiver",$L122,IF($I122="","Missing approval date",IF($J122="","Missing expiry",IF($J122&lt;=$I122,"Invalid dates",IF($J122-$I122&gt;IF('Profile'!$B$11="Baseline",180,90),IF($J122&lt;TODAY(),"Expired / over maximum","Over maximum"),IF($J122&lt;TODAY(),"Expired",$L122))))))))</x:f>
      </x:c>
    </x:row>
    <x:row r="123">
      <x:c r="A123" s="8"/>
      <x:c r="B123" s="8"/>
      <x:c r="C123" s="8"/>
      <x:c r="D123" s="8"/>
      <x:c r="E123" s="8"/>
      <x:c r="F123" s="8"/>
      <x:c r="G123" s="8"/>
      <x:c r="H123" s="8"/>
      <x:c r="I123" s="68"/>
      <x:c r="J123" s="68"/>
      <x:c r="K123" s="68"/>
      <x:c r="L123" s="8"/>
      <x:c r="M123" t="str">
        <x:f>IF($A123="","",IF(OR($L123="Closed",$L123="Revoked"),$L123,IF($B123&lt;&gt;"Temporary waiver",$L123,IF($I123="","Missing approval date",IF($J123="","Missing expiry",IF($J123&lt;=$I123,"Invalid dates",IF($J123-$I123&gt;IF('Profile'!$B$11="Baseline",180,90),IF($J123&lt;TODAY(),"Expired / over maximum","Over maximum"),IF($J123&lt;TODAY(),"Expired",$L123))))))))</x:f>
      </x:c>
    </x:row>
    <x:row r="124">
      <x:c r="A124" s="8"/>
      <x:c r="B124" s="8"/>
      <x:c r="C124" s="8"/>
      <x:c r="D124" s="8"/>
      <x:c r="E124" s="8"/>
      <x:c r="F124" s="8"/>
      <x:c r="G124" s="8"/>
      <x:c r="H124" s="8"/>
      <x:c r="I124" s="68"/>
      <x:c r="J124" s="68"/>
      <x:c r="K124" s="68"/>
      <x:c r="L124" s="8"/>
      <x:c r="M124" t="str">
        <x:f>IF($A124="","",IF(OR($L124="Closed",$L124="Revoked"),$L124,IF($B124&lt;&gt;"Temporary waiver",$L124,IF($I124="","Missing approval date",IF($J124="","Missing expiry",IF($J124&lt;=$I124,"Invalid dates",IF($J124-$I124&gt;IF('Profile'!$B$11="Baseline",180,90),IF($J124&lt;TODAY(),"Expired / over maximum","Over maximum"),IF($J124&lt;TODAY(),"Expired",$L124))))))))</x:f>
      </x:c>
    </x:row>
    <x:row r="125">
      <x:c r="A125" s="8"/>
      <x:c r="B125" s="8"/>
      <x:c r="C125" s="8"/>
      <x:c r="D125" s="8"/>
      <x:c r="E125" s="8"/>
      <x:c r="F125" s="8"/>
      <x:c r="G125" s="8"/>
      <x:c r="H125" s="8"/>
      <x:c r="I125" s="68"/>
      <x:c r="J125" s="68"/>
      <x:c r="K125" s="68"/>
      <x:c r="L125" s="8"/>
      <x:c r="M125" t="str">
        <x:f>IF($A125="","",IF(OR($L125="Closed",$L125="Revoked"),$L125,IF($B125&lt;&gt;"Temporary waiver",$L125,IF($I125="","Missing approval date",IF($J125="","Missing expiry",IF($J125&lt;=$I125,"Invalid dates",IF($J125-$I125&gt;IF('Profile'!$B$11="Baseline",180,90),IF($J125&lt;TODAY(),"Expired / over maximum","Over maximum"),IF($J125&lt;TODAY(),"Expired",$L125))))))))</x:f>
      </x:c>
    </x:row>
    <x:row r="126">
      <x:c r="A126" s="8"/>
      <x:c r="B126" s="8"/>
      <x:c r="C126" s="8"/>
      <x:c r="D126" s="8"/>
      <x:c r="E126" s="8"/>
      <x:c r="F126" s="8"/>
      <x:c r="G126" s="8"/>
      <x:c r="H126" s="8"/>
      <x:c r="I126" s="68"/>
      <x:c r="J126" s="68"/>
      <x:c r="K126" s="68"/>
      <x:c r="L126" s="8"/>
      <x:c r="M126" t="str">
        <x:f>IF($A126="","",IF(OR($L126="Closed",$L126="Revoked"),$L126,IF($B126&lt;&gt;"Temporary waiver",$L126,IF($I126="","Missing approval date",IF($J126="","Missing expiry",IF($J126&lt;=$I126,"Invalid dates",IF($J126-$I126&gt;IF('Profile'!$B$11="Baseline",180,90),IF($J126&lt;TODAY(),"Expired / over maximum","Over maximum"),IF($J126&lt;TODAY(),"Expired",$L126))))))))</x:f>
      </x:c>
    </x:row>
    <x:row r="127">
      <x:c r="A127" s="8"/>
      <x:c r="B127" s="8"/>
      <x:c r="C127" s="8"/>
      <x:c r="D127" s="8"/>
      <x:c r="E127" s="8"/>
      <x:c r="F127" s="8"/>
      <x:c r="G127" s="8"/>
      <x:c r="H127" s="8"/>
      <x:c r="I127" s="68"/>
      <x:c r="J127" s="68"/>
      <x:c r="K127" s="68"/>
      <x:c r="L127" s="8"/>
      <x:c r="M127" t="str">
        <x:f>IF($A127="","",IF(OR($L127="Closed",$L127="Revoked"),$L127,IF($B127&lt;&gt;"Temporary waiver",$L127,IF($I127="","Missing approval date",IF($J127="","Missing expiry",IF($J127&lt;=$I127,"Invalid dates",IF($J127-$I127&gt;IF('Profile'!$B$11="Baseline",180,90),IF($J127&lt;TODAY(),"Expired / over maximum","Over maximum"),IF($J127&lt;TODAY(),"Expired",$L127))))))))</x:f>
      </x:c>
    </x:row>
    <x:row r="128">
      <x:c r="A128" s="8"/>
      <x:c r="B128" s="8"/>
      <x:c r="C128" s="8"/>
      <x:c r="D128" s="8"/>
      <x:c r="E128" s="8"/>
      <x:c r="F128" s="8"/>
      <x:c r="G128" s="8"/>
      <x:c r="H128" s="8"/>
      <x:c r="I128" s="68"/>
      <x:c r="J128" s="68"/>
      <x:c r="K128" s="68"/>
      <x:c r="L128" s="8"/>
      <x:c r="M128" t="str">
        <x:f>IF($A128="","",IF(OR($L128="Closed",$L128="Revoked"),$L128,IF($B128&lt;&gt;"Temporary waiver",$L128,IF($I128="","Missing approval date",IF($J128="","Missing expiry",IF($J128&lt;=$I128,"Invalid dates",IF($J128-$I128&gt;IF('Profile'!$B$11="Baseline",180,90),IF($J128&lt;TODAY(),"Expired / over maximum","Over maximum"),IF($J128&lt;TODAY(),"Expired",$L128))))))))</x:f>
      </x:c>
    </x:row>
    <x:row r="129">
      <x:c r="A129" s="8"/>
      <x:c r="B129" s="8"/>
      <x:c r="C129" s="8"/>
      <x:c r="D129" s="8"/>
      <x:c r="E129" s="8"/>
      <x:c r="F129" s="8"/>
      <x:c r="G129" s="8"/>
      <x:c r="H129" s="8"/>
      <x:c r="I129" s="68"/>
      <x:c r="J129" s="68"/>
      <x:c r="K129" s="68"/>
      <x:c r="L129" s="8"/>
      <x:c r="M129" t="str">
        <x:f>IF($A129="","",IF(OR($L129="Closed",$L129="Revoked"),$L129,IF($B129&lt;&gt;"Temporary waiver",$L129,IF($I129="","Missing approval date",IF($J129="","Missing expiry",IF($J129&lt;=$I129,"Invalid dates",IF($J129-$I129&gt;IF('Profile'!$B$11="Baseline",180,90),IF($J129&lt;TODAY(),"Expired / over maximum","Over maximum"),IF($J129&lt;TODAY(),"Expired",$L129))))))))</x:f>
      </x:c>
    </x:row>
    <x:row r="130">
      <x:c r="A130" s="8"/>
      <x:c r="B130" s="8"/>
      <x:c r="C130" s="8"/>
      <x:c r="D130" s="8"/>
      <x:c r="E130" s="8"/>
      <x:c r="F130" s="8"/>
      <x:c r="G130" s="8"/>
      <x:c r="H130" s="8"/>
      <x:c r="I130" s="68"/>
      <x:c r="J130" s="68"/>
      <x:c r="K130" s="68"/>
      <x:c r="L130" s="8"/>
      <x:c r="M130" t="str">
        <x:f>IF($A130="","",IF(OR($L130="Closed",$L130="Revoked"),$L130,IF($B130&lt;&gt;"Temporary waiver",$L130,IF($I130="","Missing approval date",IF($J130="","Missing expiry",IF($J130&lt;=$I130,"Invalid dates",IF($J130-$I130&gt;IF('Profile'!$B$11="Baseline",180,90),IF($J130&lt;TODAY(),"Expired / over maximum","Over maximum"),IF($J130&lt;TODAY(),"Expired",$L130))))))))</x:f>
      </x:c>
    </x:row>
    <x:row r="131">
      <x:c r="A131" s="8"/>
      <x:c r="B131" s="8"/>
      <x:c r="C131" s="8"/>
      <x:c r="D131" s="8"/>
      <x:c r="E131" s="8"/>
      <x:c r="F131" s="8"/>
      <x:c r="G131" s="8"/>
      <x:c r="H131" s="8"/>
      <x:c r="I131" s="68"/>
      <x:c r="J131" s="68"/>
      <x:c r="K131" s="68"/>
      <x:c r="L131" s="8"/>
      <x:c r="M131" t="str">
        <x:f>IF($A131="","",IF(OR($L131="Closed",$L131="Revoked"),$L131,IF($B131&lt;&gt;"Temporary waiver",$L131,IF($I131="","Missing approval date",IF($J131="","Missing expiry",IF($J131&lt;=$I131,"Invalid dates",IF($J131-$I131&gt;IF('Profile'!$B$11="Baseline",180,90),IF($J131&lt;TODAY(),"Expired / over maximum","Over maximum"),IF($J131&lt;TODAY(),"Expired",$L131))))))))</x:f>
      </x:c>
    </x:row>
    <x:row r="132">
      <x:c r="A132" s="8"/>
      <x:c r="B132" s="8"/>
      <x:c r="C132" s="8"/>
      <x:c r="D132" s="8"/>
      <x:c r="E132" s="8"/>
      <x:c r="F132" s="8"/>
      <x:c r="G132" s="8"/>
      <x:c r="H132" s="8"/>
      <x:c r="I132" s="68"/>
      <x:c r="J132" s="68"/>
      <x:c r="K132" s="68"/>
      <x:c r="L132" s="8"/>
      <x:c r="M132" t="str">
        <x:f>IF($A132="","",IF(OR($L132="Closed",$L132="Revoked"),$L132,IF($B132&lt;&gt;"Temporary waiver",$L132,IF($I132="","Missing approval date",IF($J132="","Missing expiry",IF($J132&lt;=$I132,"Invalid dates",IF($J132-$I132&gt;IF('Profile'!$B$11="Baseline",180,90),IF($J132&lt;TODAY(),"Expired / over maximum","Over maximum"),IF($J132&lt;TODAY(),"Expired",$L132))))))))</x:f>
      </x:c>
    </x:row>
    <x:row r="133">
      <x:c r="A133" s="8"/>
      <x:c r="B133" s="8"/>
      <x:c r="C133" s="8"/>
      <x:c r="D133" s="8"/>
      <x:c r="E133" s="8"/>
      <x:c r="F133" s="8"/>
      <x:c r="G133" s="8"/>
      <x:c r="H133" s="8"/>
      <x:c r="I133" s="68"/>
      <x:c r="J133" s="68"/>
      <x:c r="K133" s="68"/>
      <x:c r="L133" s="8"/>
      <x:c r="M133" t="str">
        <x:f>IF($A133="","",IF(OR($L133="Closed",$L133="Revoked"),$L133,IF($B133&lt;&gt;"Temporary waiver",$L133,IF($I133="","Missing approval date",IF($J133="","Missing expiry",IF($J133&lt;=$I133,"Invalid dates",IF($J133-$I133&gt;IF('Profile'!$B$11="Baseline",180,90),IF($J133&lt;TODAY(),"Expired / over maximum","Over maximum"),IF($J133&lt;TODAY(),"Expired",$L133))))))))</x:f>
      </x:c>
    </x:row>
    <x:row r="134">
      <x:c r="A134" s="8"/>
      <x:c r="B134" s="8"/>
      <x:c r="C134" s="8"/>
      <x:c r="D134" s="8"/>
      <x:c r="E134" s="8"/>
      <x:c r="F134" s="8"/>
      <x:c r="G134" s="8"/>
      <x:c r="H134" s="8"/>
      <x:c r="I134" s="68"/>
      <x:c r="J134" s="68"/>
      <x:c r="K134" s="68"/>
      <x:c r="L134" s="8"/>
      <x:c r="M134" t="str">
        <x:f>IF($A134="","",IF(OR($L134="Closed",$L134="Revoked"),$L134,IF($B134&lt;&gt;"Temporary waiver",$L134,IF($I134="","Missing approval date",IF($J134="","Missing expiry",IF($J134&lt;=$I134,"Invalid dates",IF($J134-$I134&gt;IF('Profile'!$B$11="Baseline",180,90),IF($J134&lt;TODAY(),"Expired / over maximum","Over maximum"),IF($J134&lt;TODAY(),"Expired",$L134))))))))</x:f>
      </x:c>
    </x:row>
    <x:row r="135">
      <x:c r="A135" s="8"/>
      <x:c r="B135" s="8"/>
      <x:c r="C135" s="8"/>
      <x:c r="D135" s="8"/>
      <x:c r="E135" s="8"/>
      <x:c r="F135" s="8"/>
      <x:c r="G135" s="8"/>
      <x:c r="H135" s="8"/>
      <x:c r="I135" s="68"/>
      <x:c r="J135" s="68"/>
      <x:c r="K135" s="68"/>
      <x:c r="L135" s="8"/>
      <x:c r="M135" t="str">
        <x:f>IF($A135="","",IF(OR($L135="Closed",$L135="Revoked"),$L135,IF($B135&lt;&gt;"Temporary waiver",$L135,IF($I135="","Missing approval date",IF($J135="","Missing expiry",IF($J135&lt;=$I135,"Invalid dates",IF($J135-$I135&gt;IF('Profile'!$B$11="Baseline",180,90),IF($J135&lt;TODAY(),"Expired / over maximum","Over maximum"),IF($J135&lt;TODAY(),"Expired",$L135))))))))</x:f>
      </x:c>
    </x:row>
    <x:row r="136">
      <x:c r="A136" s="8"/>
      <x:c r="B136" s="8"/>
      <x:c r="C136" s="8"/>
      <x:c r="D136" s="8"/>
      <x:c r="E136" s="8"/>
      <x:c r="F136" s="8"/>
      <x:c r="G136" s="8"/>
      <x:c r="H136" s="8"/>
      <x:c r="I136" s="68"/>
      <x:c r="J136" s="68"/>
      <x:c r="K136" s="68"/>
      <x:c r="L136" s="8"/>
      <x:c r="M136" t="str">
        <x:f>IF($A136="","",IF(OR($L136="Closed",$L136="Revoked"),$L136,IF($B136&lt;&gt;"Temporary waiver",$L136,IF($I136="","Missing approval date",IF($J136="","Missing expiry",IF($J136&lt;=$I136,"Invalid dates",IF($J136-$I136&gt;IF('Profile'!$B$11="Baseline",180,90),IF($J136&lt;TODAY(),"Expired / over maximum","Over maximum"),IF($J136&lt;TODAY(),"Expired",$L136))))))))</x:f>
      </x:c>
    </x:row>
    <x:row r="137">
      <x:c r="A137" s="8"/>
      <x:c r="B137" s="8"/>
      <x:c r="C137" s="8"/>
      <x:c r="D137" s="8"/>
      <x:c r="E137" s="8"/>
      <x:c r="F137" s="8"/>
      <x:c r="G137" s="8"/>
      <x:c r="H137" s="8"/>
      <x:c r="I137" s="68"/>
      <x:c r="J137" s="68"/>
      <x:c r="K137" s="68"/>
      <x:c r="L137" s="8"/>
      <x:c r="M137" t="str">
        <x:f>IF($A137="","",IF(OR($L137="Closed",$L137="Revoked"),$L137,IF($B137&lt;&gt;"Temporary waiver",$L137,IF($I137="","Missing approval date",IF($J137="","Missing expiry",IF($J137&lt;=$I137,"Invalid dates",IF($J137-$I137&gt;IF('Profile'!$B$11="Baseline",180,90),IF($J137&lt;TODAY(),"Expired / over maximum","Over maximum"),IF($J137&lt;TODAY(),"Expired",$L137))))))))</x:f>
      </x:c>
    </x:row>
    <x:row r="138">
      <x:c r="A138" s="8"/>
      <x:c r="B138" s="8"/>
      <x:c r="C138" s="8"/>
      <x:c r="D138" s="8"/>
      <x:c r="E138" s="8"/>
      <x:c r="F138" s="8"/>
      <x:c r="G138" s="8"/>
      <x:c r="H138" s="8"/>
      <x:c r="I138" s="68"/>
      <x:c r="J138" s="68"/>
      <x:c r="K138" s="68"/>
      <x:c r="L138" s="8"/>
      <x:c r="M138" t="str">
        <x:f>IF($A138="","",IF(OR($L138="Closed",$L138="Revoked"),$L138,IF($B138&lt;&gt;"Temporary waiver",$L138,IF($I138="","Missing approval date",IF($J138="","Missing expiry",IF($J138&lt;=$I138,"Invalid dates",IF($J138-$I138&gt;IF('Profile'!$B$11="Baseline",180,90),IF($J138&lt;TODAY(),"Expired / over maximum","Over maximum"),IF($J138&lt;TODAY(),"Expired",$L138))))))))</x:f>
      </x:c>
    </x:row>
    <x:row r="139">
      <x:c r="A139" s="8"/>
      <x:c r="B139" s="8"/>
      <x:c r="C139" s="8"/>
      <x:c r="D139" s="8"/>
      <x:c r="E139" s="8"/>
      <x:c r="F139" s="8"/>
      <x:c r="G139" s="8"/>
      <x:c r="H139" s="8"/>
      <x:c r="I139" s="68"/>
      <x:c r="J139" s="68"/>
      <x:c r="K139" s="68"/>
      <x:c r="L139" s="8"/>
      <x:c r="M139" t="str">
        <x:f>IF($A139="","",IF(OR($L139="Closed",$L139="Revoked"),$L139,IF($B139&lt;&gt;"Temporary waiver",$L139,IF($I139="","Missing approval date",IF($J139="","Missing expiry",IF($J139&lt;=$I139,"Invalid dates",IF($J139-$I139&gt;IF('Profile'!$B$11="Baseline",180,90),IF($J139&lt;TODAY(),"Expired / over maximum","Over maximum"),IF($J139&lt;TODAY(),"Expired",$L139))))))))</x:f>
      </x:c>
    </x:row>
    <x:row r="140">
      <x:c r="A140" s="8"/>
      <x:c r="B140" s="8"/>
      <x:c r="C140" s="8"/>
      <x:c r="D140" s="8"/>
      <x:c r="E140" s="8"/>
      <x:c r="F140" s="8"/>
      <x:c r="G140" s="8"/>
      <x:c r="H140" s="8"/>
      <x:c r="I140" s="68"/>
      <x:c r="J140" s="68"/>
      <x:c r="K140" s="68"/>
      <x:c r="L140" s="8"/>
      <x:c r="M140" t="str">
        <x:f>IF($A140="","",IF(OR($L140="Closed",$L140="Revoked"),$L140,IF($B140&lt;&gt;"Temporary waiver",$L140,IF($I140="","Missing approval date",IF($J140="","Missing expiry",IF($J140&lt;=$I140,"Invalid dates",IF($J140-$I140&gt;IF('Profile'!$B$11="Baseline",180,90),IF($J140&lt;TODAY(),"Expired / over maximum","Over maximum"),IF($J140&lt;TODAY(),"Expired",$L140))))))))</x:f>
      </x:c>
    </x:row>
    <x:row r="141">
      <x:c r="A141" s="8"/>
      <x:c r="B141" s="8"/>
      <x:c r="C141" s="8"/>
      <x:c r="D141" s="8"/>
      <x:c r="E141" s="8"/>
      <x:c r="F141" s="8"/>
      <x:c r="G141" s="8"/>
      <x:c r="H141" s="8"/>
      <x:c r="I141" s="68"/>
      <x:c r="J141" s="68"/>
      <x:c r="K141" s="68"/>
      <x:c r="L141" s="8"/>
      <x:c r="M141" t="str">
        <x:f>IF($A141="","",IF(OR($L141="Closed",$L141="Revoked"),$L141,IF($B141&lt;&gt;"Temporary waiver",$L141,IF($I141="","Missing approval date",IF($J141="","Missing expiry",IF($J141&lt;=$I141,"Invalid dates",IF($J141-$I141&gt;IF('Profile'!$B$11="Baseline",180,90),IF($J141&lt;TODAY(),"Expired / over maximum","Over maximum"),IF($J141&lt;TODAY(),"Expired",$L141))))))))</x:f>
      </x:c>
    </x:row>
    <x:row r="142">
      <x:c r="A142" s="8"/>
      <x:c r="B142" s="8"/>
      <x:c r="C142" s="8"/>
      <x:c r="D142" s="8"/>
      <x:c r="E142" s="8"/>
      <x:c r="F142" s="8"/>
      <x:c r="G142" s="8"/>
      <x:c r="H142" s="8"/>
      <x:c r="I142" s="68"/>
      <x:c r="J142" s="68"/>
      <x:c r="K142" s="68"/>
      <x:c r="L142" s="8"/>
      <x:c r="M142" t="str">
        <x:f>IF($A142="","",IF(OR($L142="Closed",$L142="Revoked"),$L142,IF($B142&lt;&gt;"Temporary waiver",$L142,IF($I142="","Missing approval date",IF($J142="","Missing expiry",IF($J142&lt;=$I142,"Invalid dates",IF($J142-$I142&gt;IF('Profile'!$B$11="Baseline",180,90),IF($J142&lt;TODAY(),"Expired / over maximum","Over maximum"),IF($J142&lt;TODAY(),"Expired",$L142))))))))</x:f>
      </x:c>
    </x:row>
    <x:row r="143">
      <x:c r="A143" s="8"/>
      <x:c r="B143" s="8"/>
      <x:c r="C143" s="8"/>
      <x:c r="D143" s="8"/>
      <x:c r="E143" s="8"/>
      <x:c r="F143" s="8"/>
      <x:c r="G143" s="8"/>
      <x:c r="H143" s="8"/>
      <x:c r="I143" s="68"/>
      <x:c r="J143" s="68"/>
      <x:c r="K143" s="68"/>
      <x:c r="L143" s="8"/>
      <x:c r="M143" t="str">
        <x:f>IF($A143="","",IF(OR($L143="Closed",$L143="Revoked"),$L143,IF($B143&lt;&gt;"Temporary waiver",$L143,IF($I143="","Missing approval date",IF($J143="","Missing expiry",IF($J143&lt;=$I143,"Invalid dates",IF($J143-$I143&gt;IF('Profile'!$B$11="Baseline",180,90),IF($J143&lt;TODAY(),"Expired / over maximum","Over maximum"),IF($J143&lt;TODAY(),"Expired",$L143))))))))</x:f>
      </x:c>
    </x:row>
    <x:row r="144">
      <x:c r="A144" s="8"/>
      <x:c r="B144" s="8"/>
      <x:c r="C144" s="8"/>
      <x:c r="D144" s="8"/>
      <x:c r="E144" s="8"/>
      <x:c r="F144" s="8"/>
      <x:c r="G144" s="8"/>
      <x:c r="H144" s="8"/>
      <x:c r="I144" s="68"/>
      <x:c r="J144" s="68"/>
      <x:c r="K144" s="68"/>
      <x:c r="L144" s="8"/>
      <x:c r="M144" t="str">
        <x:f>IF($A144="","",IF(OR($L144="Closed",$L144="Revoked"),$L144,IF($B144&lt;&gt;"Temporary waiver",$L144,IF($I144="","Missing approval date",IF($J144="","Missing expiry",IF($J144&lt;=$I144,"Invalid dates",IF($J144-$I144&gt;IF('Profile'!$B$11="Baseline",180,90),IF($J144&lt;TODAY(),"Expired / over maximum","Over maximum"),IF($J144&lt;TODAY(),"Expired",$L144))))))))</x:f>
      </x:c>
    </x:row>
    <x:row r="145">
      <x:c r="A145" s="8"/>
      <x:c r="B145" s="8"/>
      <x:c r="C145" s="8"/>
      <x:c r="D145" s="8"/>
      <x:c r="E145" s="8"/>
      <x:c r="F145" s="8"/>
      <x:c r="G145" s="8"/>
      <x:c r="H145" s="8"/>
      <x:c r="I145" s="68"/>
      <x:c r="J145" s="68"/>
      <x:c r="K145" s="68"/>
      <x:c r="L145" s="8"/>
      <x:c r="M145" t="str">
        <x:f>IF($A145="","",IF(OR($L145="Closed",$L145="Revoked"),$L145,IF($B145&lt;&gt;"Temporary waiver",$L145,IF($I145="","Missing approval date",IF($J145="","Missing expiry",IF($J145&lt;=$I145,"Invalid dates",IF($J145-$I145&gt;IF('Profile'!$B$11="Baseline",180,90),IF($J145&lt;TODAY(),"Expired / over maximum","Over maximum"),IF($J145&lt;TODAY(),"Expired",$L145))))))))</x:f>
      </x:c>
    </x:row>
    <x:row r="146">
      <x:c r="A146" s="8"/>
      <x:c r="B146" s="8"/>
      <x:c r="C146" s="8"/>
      <x:c r="D146" s="8"/>
      <x:c r="E146" s="8"/>
      <x:c r="F146" s="8"/>
      <x:c r="G146" s="8"/>
      <x:c r="H146" s="8"/>
      <x:c r="I146" s="68"/>
      <x:c r="J146" s="68"/>
      <x:c r="K146" s="68"/>
      <x:c r="L146" s="8"/>
      <x:c r="M146" t="str">
        <x:f>IF($A146="","",IF(OR($L146="Closed",$L146="Revoked"),$L146,IF($B146&lt;&gt;"Temporary waiver",$L146,IF($I146="","Missing approval date",IF($J146="","Missing expiry",IF($J146&lt;=$I146,"Invalid dates",IF($J146-$I146&gt;IF('Profile'!$B$11="Baseline",180,90),IF($J146&lt;TODAY(),"Expired / over maximum","Over maximum"),IF($J146&lt;TODAY(),"Expired",$L146))))))))</x:f>
      </x:c>
    </x:row>
    <x:row r="147">
      <x:c r="A147" s="8"/>
      <x:c r="B147" s="8"/>
      <x:c r="C147" s="8"/>
      <x:c r="D147" s="8"/>
      <x:c r="E147" s="8"/>
      <x:c r="F147" s="8"/>
      <x:c r="G147" s="8"/>
      <x:c r="H147" s="8"/>
      <x:c r="I147" s="68"/>
      <x:c r="J147" s="68"/>
      <x:c r="K147" s="68"/>
      <x:c r="L147" s="8"/>
      <x:c r="M147" t="str">
        <x:f>IF($A147="","",IF(OR($L147="Closed",$L147="Revoked"),$L147,IF($B147&lt;&gt;"Temporary waiver",$L147,IF($I147="","Missing approval date",IF($J147="","Missing expiry",IF($J147&lt;=$I147,"Invalid dates",IF($J147-$I147&gt;IF('Profile'!$B$11="Baseline",180,90),IF($J147&lt;TODAY(),"Expired / over maximum","Over maximum"),IF($J147&lt;TODAY(),"Expired",$L147))))))))</x:f>
      </x:c>
    </x:row>
    <x:row r="148">
      <x:c r="A148" s="8"/>
      <x:c r="B148" s="8"/>
      <x:c r="C148" s="8"/>
      <x:c r="D148" s="8"/>
      <x:c r="E148" s="8"/>
      <x:c r="F148" s="8"/>
      <x:c r="G148" s="8"/>
      <x:c r="H148" s="8"/>
      <x:c r="I148" s="68"/>
      <x:c r="J148" s="68"/>
      <x:c r="K148" s="68"/>
      <x:c r="L148" s="8"/>
      <x:c r="M148" t="str">
        <x:f>IF($A148="","",IF(OR($L148="Closed",$L148="Revoked"),$L148,IF($B148&lt;&gt;"Temporary waiver",$L148,IF($I148="","Missing approval date",IF($J148="","Missing expiry",IF($J148&lt;=$I148,"Invalid dates",IF($J148-$I148&gt;IF('Profile'!$B$11="Baseline",180,90),IF($J148&lt;TODAY(),"Expired / over maximum","Over maximum"),IF($J148&lt;TODAY(),"Expired",$L148))))))))</x:f>
      </x:c>
    </x:row>
    <x:row r="149">
      <x:c r="A149" s="8"/>
      <x:c r="B149" s="8"/>
      <x:c r="C149" s="8"/>
      <x:c r="D149" s="8"/>
      <x:c r="E149" s="8"/>
      <x:c r="F149" s="8"/>
      <x:c r="G149" s="8"/>
      <x:c r="H149" s="8"/>
      <x:c r="I149" s="68"/>
      <x:c r="J149" s="68"/>
      <x:c r="K149" s="68"/>
      <x:c r="L149" s="8"/>
      <x:c r="M149" t="str">
        <x:f>IF($A149="","",IF(OR($L149="Closed",$L149="Revoked"),$L149,IF($B149&lt;&gt;"Temporary waiver",$L149,IF($I149="","Missing approval date",IF($J149="","Missing expiry",IF($J149&lt;=$I149,"Invalid dates",IF($J149-$I149&gt;IF('Profile'!$B$11="Baseline",180,90),IF($J149&lt;TODAY(),"Expired / over maximum","Over maximum"),IF($J149&lt;TODAY(),"Expired",$L149))))))))</x:f>
      </x:c>
    </x:row>
    <x:row r="150">
      <x:c r="A150" s="8"/>
      <x:c r="B150" s="8"/>
      <x:c r="C150" s="8"/>
      <x:c r="D150" s="8"/>
      <x:c r="E150" s="8"/>
      <x:c r="F150" s="8"/>
      <x:c r="G150" s="8"/>
      <x:c r="H150" s="8"/>
      <x:c r="I150" s="68"/>
      <x:c r="J150" s="68"/>
      <x:c r="K150" s="68"/>
      <x:c r="L150" s="8"/>
      <x:c r="M150" t="str">
        <x:f>IF($A150="","",IF(OR($L150="Closed",$L150="Revoked"),$L150,IF($B150&lt;&gt;"Temporary waiver",$L150,IF($I150="","Missing approval date",IF($J150="","Missing expiry",IF($J150&lt;=$I150,"Invalid dates",IF($J150-$I150&gt;IF('Profile'!$B$11="Baseline",180,90),IF($J150&lt;TODAY(),"Expired / over maximum","Over maximum"),IF($J150&lt;TODAY(),"Expired",$L150))))))))</x:f>
      </x:c>
    </x:row>
    <x:row r="151">
      <x:c r="A151" s="8"/>
      <x:c r="B151" s="8"/>
      <x:c r="C151" s="8"/>
      <x:c r="D151" s="8"/>
      <x:c r="E151" s="8"/>
      <x:c r="F151" s="8"/>
      <x:c r="G151" s="8"/>
      <x:c r="H151" s="8"/>
      <x:c r="I151" s="68"/>
      <x:c r="J151" s="68"/>
      <x:c r="K151" s="68"/>
      <x:c r="L151" s="8"/>
      <x:c r="M151" t="str">
        <x:f>IF($A151="","",IF(OR($L151="Closed",$L151="Revoked"),$L151,IF($B151&lt;&gt;"Temporary waiver",$L151,IF($I151="","Missing approval date",IF($J151="","Missing expiry",IF($J151&lt;=$I151,"Invalid dates",IF($J151-$I151&gt;IF('Profile'!$B$11="Baseline",180,90),IF($J151&lt;TODAY(),"Expired / over maximum","Over maximum"),IF($J151&lt;TODAY(),"Expired",$L151))))))))</x:f>
      </x:c>
    </x:row>
    <x:row r="152">
      <x:c r="A152" s="8"/>
      <x:c r="B152" s="8"/>
      <x:c r="C152" s="8"/>
      <x:c r="D152" s="8"/>
      <x:c r="E152" s="8"/>
      <x:c r="F152" s="8"/>
      <x:c r="G152" s="8"/>
      <x:c r="H152" s="8"/>
      <x:c r="I152" s="68"/>
      <x:c r="J152" s="68"/>
      <x:c r="K152" s="68"/>
      <x:c r="L152" s="8"/>
      <x:c r="M152" t="str">
        <x:f>IF($A152="","",IF(OR($L152="Closed",$L152="Revoked"),$L152,IF($B152&lt;&gt;"Temporary waiver",$L152,IF($I152="","Missing approval date",IF($J152="","Missing expiry",IF($J152&lt;=$I152,"Invalid dates",IF($J152-$I152&gt;IF('Profile'!$B$11="Baseline",180,90),IF($J152&lt;TODAY(),"Expired / over maximum","Over maximum"),IF($J152&lt;TODAY(),"Expired",$L152))))))))</x:f>
      </x:c>
    </x:row>
    <x:row r="153">
      <x:c r="A153" s="8"/>
      <x:c r="B153" s="8"/>
      <x:c r="C153" s="8"/>
      <x:c r="D153" s="8"/>
      <x:c r="E153" s="8"/>
      <x:c r="F153" s="8"/>
      <x:c r="G153" s="8"/>
      <x:c r="H153" s="8"/>
      <x:c r="I153" s="68"/>
      <x:c r="J153" s="68"/>
      <x:c r="K153" s="68"/>
      <x:c r="L153" s="8"/>
      <x:c r="M153" t="str">
        <x:f>IF($A153="","",IF(OR($L153="Closed",$L153="Revoked"),$L153,IF($B153&lt;&gt;"Temporary waiver",$L153,IF($I153="","Missing approval date",IF($J153="","Missing expiry",IF($J153&lt;=$I153,"Invalid dates",IF($J153-$I153&gt;IF('Profile'!$B$11="Baseline",180,90),IF($J153&lt;TODAY(),"Expired / over maximum","Over maximum"),IF($J153&lt;TODAY(),"Expired",$L153))))))))</x:f>
      </x:c>
    </x:row>
    <x:row r="154">
      <x:c r="A154" s="8"/>
      <x:c r="B154" s="8"/>
      <x:c r="C154" s="8"/>
      <x:c r="D154" s="8"/>
      <x:c r="E154" s="8"/>
      <x:c r="F154" s="8"/>
      <x:c r="G154" s="8"/>
      <x:c r="H154" s="8"/>
      <x:c r="I154" s="68"/>
      <x:c r="J154" s="68"/>
      <x:c r="K154" s="68"/>
      <x:c r="L154" s="8"/>
      <x:c r="M154" t="str">
        <x:f>IF($A154="","",IF(OR($L154="Closed",$L154="Revoked"),$L154,IF($B154&lt;&gt;"Temporary waiver",$L154,IF($I154="","Missing approval date",IF($J154="","Missing expiry",IF($J154&lt;=$I154,"Invalid dates",IF($J154-$I154&gt;IF('Profile'!$B$11="Baseline",180,90),IF($J154&lt;TODAY(),"Expired / over maximum","Over maximum"),IF($J154&lt;TODAY(),"Expired",$L154))))))))</x:f>
      </x:c>
    </x:row>
    <x:row r="155">
      <x:c r="A155" s="8"/>
      <x:c r="B155" s="8"/>
      <x:c r="C155" s="8"/>
      <x:c r="D155" s="8"/>
      <x:c r="E155" s="8"/>
      <x:c r="F155" s="8"/>
      <x:c r="G155" s="8"/>
      <x:c r="H155" s="8"/>
      <x:c r="I155" s="68"/>
      <x:c r="J155" s="68"/>
      <x:c r="K155" s="68"/>
      <x:c r="L155" s="8"/>
      <x:c r="M155" t="str">
        <x:f>IF($A155="","",IF(OR($L155="Closed",$L155="Revoked"),$L155,IF($B155&lt;&gt;"Temporary waiver",$L155,IF($I155="","Missing approval date",IF($J155="","Missing expiry",IF($J155&lt;=$I155,"Invalid dates",IF($J155-$I155&gt;IF('Profile'!$B$11="Baseline",180,90),IF($J155&lt;TODAY(),"Expired / over maximum","Over maximum"),IF($J155&lt;TODAY(),"Expired",$L155))))))))</x:f>
      </x:c>
    </x:row>
    <x:row r="156">
      <x:c r="A156" s="8"/>
      <x:c r="B156" s="8"/>
      <x:c r="C156" s="8"/>
      <x:c r="D156" s="8"/>
      <x:c r="E156" s="8"/>
      <x:c r="F156" s="8"/>
      <x:c r="G156" s="8"/>
      <x:c r="H156" s="8"/>
      <x:c r="I156" s="68"/>
      <x:c r="J156" s="68"/>
      <x:c r="K156" s="68"/>
      <x:c r="L156" s="8"/>
      <x:c r="M156" t="str">
        <x:f>IF($A156="","",IF(OR($L156="Closed",$L156="Revoked"),$L156,IF($B156&lt;&gt;"Temporary waiver",$L156,IF($I156="","Missing approval date",IF($J156="","Missing expiry",IF($J156&lt;=$I156,"Invalid dates",IF($J156-$I156&gt;IF('Profile'!$B$11="Baseline",180,90),IF($J156&lt;TODAY(),"Expired / over maximum","Over maximum"),IF($J156&lt;TODAY(),"Expired",$L156))))))))</x:f>
      </x:c>
    </x:row>
    <x:row r="157">
      <x:c r="A157" s="8"/>
      <x:c r="B157" s="8"/>
      <x:c r="C157" s="8"/>
      <x:c r="D157" s="8"/>
      <x:c r="E157" s="8"/>
      <x:c r="F157" s="8"/>
      <x:c r="G157" s="8"/>
      <x:c r="H157" s="8"/>
      <x:c r="I157" s="68"/>
      <x:c r="J157" s="68"/>
      <x:c r="K157" s="68"/>
      <x:c r="L157" s="8"/>
      <x:c r="M157" t="str">
        <x:f>IF($A157="","",IF(OR($L157="Closed",$L157="Revoked"),$L157,IF($B157&lt;&gt;"Temporary waiver",$L157,IF($I157="","Missing approval date",IF($J157="","Missing expiry",IF($J157&lt;=$I157,"Invalid dates",IF($J157-$I157&gt;IF('Profile'!$B$11="Baseline",180,90),IF($J157&lt;TODAY(),"Expired / over maximum","Over maximum"),IF($J157&lt;TODAY(),"Expired",$L157))))))))</x:f>
      </x:c>
    </x:row>
    <x:row r="158">
      <x:c r="A158" s="8"/>
      <x:c r="B158" s="8"/>
      <x:c r="C158" s="8"/>
      <x:c r="D158" s="8"/>
      <x:c r="E158" s="8"/>
      <x:c r="F158" s="8"/>
      <x:c r="G158" s="8"/>
      <x:c r="H158" s="8"/>
      <x:c r="I158" s="68"/>
      <x:c r="J158" s="68"/>
      <x:c r="K158" s="68"/>
      <x:c r="L158" s="8"/>
      <x:c r="M158" t="str">
        <x:f>IF($A158="","",IF(OR($L158="Closed",$L158="Revoked"),$L158,IF($B158&lt;&gt;"Temporary waiver",$L158,IF($I158="","Missing approval date",IF($J158="","Missing expiry",IF($J158&lt;=$I158,"Invalid dates",IF($J158-$I158&gt;IF('Profile'!$B$11="Baseline",180,90),IF($J158&lt;TODAY(),"Expired / over maximum","Over maximum"),IF($J158&lt;TODAY(),"Expired",$L158))))))))</x:f>
      </x:c>
    </x:row>
    <x:row r="159">
      <x:c r="A159" s="8"/>
      <x:c r="B159" s="8"/>
      <x:c r="C159" s="8"/>
      <x:c r="D159" s="8"/>
      <x:c r="E159" s="8"/>
      <x:c r="F159" s="8"/>
      <x:c r="G159" s="8"/>
      <x:c r="H159" s="8"/>
      <x:c r="I159" s="68"/>
      <x:c r="J159" s="68"/>
      <x:c r="K159" s="68"/>
      <x:c r="L159" s="8"/>
      <x:c r="M159" t="str">
        <x:f>IF($A159="","",IF(OR($L159="Closed",$L159="Revoked"),$L159,IF($B159&lt;&gt;"Temporary waiver",$L159,IF($I159="","Missing approval date",IF($J159="","Missing expiry",IF($J159&lt;=$I159,"Invalid dates",IF($J159-$I159&gt;IF('Profile'!$B$11="Baseline",180,90),IF($J159&lt;TODAY(),"Expired / over maximum","Over maximum"),IF($J159&lt;TODAY(),"Expired",$L159))))))))</x:f>
      </x:c>
    </x:row>
    <x:row r="160">
      <x:c r="A160" s="8"/>
      <x:c r="B160" s="8"/>
      <x:c r="C160" s="8"/>
      <x:c r="D160" s="8"/>
      <x:c r="E160" s="8"/>
      <x:c r="F160" s="8"/>
      <x:c r="G160" s="8"/>
      <x:c r="H160" s="8"/>
      <x:c r="I160" s="68"/>
      <x:c r="J160" s="68"/>
      <x:c r="K160" s="68"/>
      <x:c r="L160" s="8"/>
      <x:c r="M160" t="str">
        <x:f>IF($A160="","",IF(OR($L160="Closed",$L160="Revoked"),$L160,IF($B160&lt;&gt;"Temporary waiver",$L160,IF($I160="","Missing approval date",IF($J160="","Missing expiry",IF($J160&lt;=$I160,"Invalid dates",IF($J160-$I160&gt;IF('Profile'!$B$11="Baseline",180,90),IF($J160&lt;TODAY(),"Expired / over maximum","Over maximum"),IF($J160&lt;TODAY(),"Expired",$L160))))))))</x:f>
      </x:c>
    </x:row>
    <x:row r="161">
      <x:c r="A161" s="8"/>
      <x:c r="B161" s="8"/>
      <x:c r="C161" s="8"/>
      <x:c r="D161" s="8"/>
      <x:c r="E161" s="8"/>
      <x:c r="F161" s="8"/>
      <x:c r="G161" s="8"/>
      <x:c r="H161" s="8"/>
      <x:c r="I161" s="68"/>
      <x:c r="J161" s="68"/>
      <x:c r="K161" s="68"/>
      <x:c r="L161" s="8"/>
      <x:c r="M161" t="str">
        <x:f>IF($A161="","",IF(OR($L161="Closed",$L161="Revoked"),$L161,IF($B161&lt;&gt;"Temporary waiver",$L161,IF($I161="","Missing approval date",IF($J161="","Missing expiry",IF($J161&lt;=$I161,"Invalid dates",IF($J161-$I161&gt;IF('Profile'!$B$11="Baseline",180,90),IF($J161&lt;TODAY(),"Expired / over maximum","Over maximum"),IF($J161&lt;TODAY(),"Expired",$L161))))))))</x:f>
      </x:c>
    </x:row>
    <x:row r="162">
      <x:c r="A162" s="8"/>
      <x:c r="B162" s="8"/>
      <x:c r="C162" s="8"/>
      <x:c r="D162" s="8"/>
      <x:c r="E162" s="8"/>
      <x:c r="F162" s="8"/>
      <x:c r="G162" s="8"/>
      <x:c r="H162" s="8"/>
      <x:c r="I162" s="68"/>
      <x:c r="J162" s="68"/>
      <x:c r="K162" s="68"/>
      <x:c r="L162" s="8"/>
      <x:c r="M162" t="str">
        <x:f>IF($A162="","",IF(OR($L162="Closed",$L162="Revoked"),$L162,IF($B162&lt;&gt;"Temporary waiver",$L162,IF($I162="","Missing approval date",IF($J162="","Missing expiry",IF($J162&lt;=$I162,"Invalid dates",IF($J162-$I162&gt;IF('Profile'!$B$11="Baseline",180,90),IF($J162&lt;TODAY(),"Expired / over maximum","Over maximum"),IF($J162&lt;TODAY(),"Expired",$L162))))))))</x:f>
      </x:c>
    </x:row>
    <x:row r="163">
      <x:c r="A163" s="8"/>
      <x:c r="B163" s="8"/>
      <x:c r="C163" s="8"/>
      <x:c r="D163" s="8"/>
      <x:c r="E163" s="8"/>
      <x:c r="F163" s="8"/>
      <x:c r="G163" s="8"/>
      <x:c r="H163" s="8"/>
      <x:c r="I163" s="68"/>
      <x:c r="J163" s="68"/>
      <x:c r="K163" s="68"/>
      <x:c r="L163" s="8"/>
      <x:c r="M163" t="str">
        <x:f>IF($A163="","",IF(OR($L163="Closed",$L163="Revoked"),$L163,IF($B163&lt;&gt;"Temporary waiver",$L163,IF($I163="","Missing approval date",IF($J163="","Missing expiry",IF($J163&lt;=$I163,"Invalid dates",IF($J163-$I163&gt;IF('Profile'!$B$11="Baseline",180,90),IF($J163&lt;TODAY(),"Expired / over maximum","Over maximum"),IF($J163&lt;TODAY(),"Expired",$L163))))))))</x:f>
      </x:c>
    </x:row>
    <x:row r="164">
      <x:c r="A164" s="8"/>
      <x:c r="B164" s="8"/>
      <x:c r="C164" s="8"/>
      <x:c r="D164" s="8"/>
      <x:c r="E164" s="8"/>
      <x:c r="F164" s="8"/>
      <x:c r="G164" s="8"/>
      <x:c r="H164" s="8"/>
      <x:c r="I164" s="68"/>
      <x:c r="J164" s="68"/>
      <x:c r="K164" s="68"/>
      <x:c r="L164" s="8"/>
      <x:c r="M164" t="str">
        <x:f>IF($A164="","",IF(OR($L164="Closed",$L164="Revoked"),$L164,IF($B164&lt;&gt;"Temporary waiver",$L164,IF($I164="","Missing approval date",IF($J164="","Missing expiry",IF($J164&lt;=$I164,"Invalid dates",IF($J164-$I164&gt;IF('Profile'!$B$11="Baseline",180,90),IF($J164&lt;TODAY(),"Expired / over maximum","Over maximum"),IF($J164&lt;TODAY(),"Expired",$L164))))))))</x:f>
      </x:c>
    </x:row>
    <x:row r="165">
      <x:c r="A165" s="8"/>
      <x:c r="B165" s="8"/>
      <x:c r="C165" s="8"/>
      <x:c r="D165" s="8"/>
      <x:c r="E165" s="8"/>
      <x:c r="F165" s="8"/>
      <x:c r="G165" s="8"/>
      <x:c r="H165" s="8"/>
      <x:c r="I165" s="68"/>
      <x:c r="J165" s="68"/>
      <x:c r="K165" s="68"/>
      <x:c r="L165" s="8"/>
      <x:c r="M165" t="str">
        <x:f>IF($A165="","",IF(OR($L165="Closed",$L165="Revoked"),$L165,IF($B165&lt;&gt;"Temporary waiver",$L165,IF($I165="","Missing approval date",IF($J165="","Missing expiry",IF($J165&lt;=$I165,"Invalid dates",IF($J165-$I165&gt;IF('Profile'!$B$11="Baseline",180,90),IF($J165&lt;TODAY(),"Expired / over maximum","Over maximum"),IF($J165&lt;TODAY(),"Expired",$L165))))))))</x:f>
      </x:c>
    </x:row>
    <x:row r="166">
      <x:c r="A166" s="8"/>
      <x:c r="B166" s="8"/>
      <x:c r="C166" s="8"/>
      <x:c r="D166" s="8"/>
      <x:c r="E166" s="8"/>
      <x:c r="F166" s="8"/>
      <x:c r="G166" s="8"/>
      <x:c r="H166" s="8"/>
      <x:c r="I166" s="68"/>
      <x:c r="J166" s="68"/>
      <x:c r="K166" s="68"/>
      <x:c r="L166" s="8"/>
      <x:c r="M166" t="str">
        <x:f>IF($A166="","",IF(OR($L166="Closed",$L166="Revoked"),$L166,IF($B166&lt;&gt;"Temporary waiver",$L166,IF($I166="","Missing approval date",IF($J166="","Missing expiry",IF($J166&lt;=$I166,"Invalid dates",IF($J166-$I166&gt;IF('Profile'!$B$11="Baseline",180,90),IF($J166&lt;TODAY(),"Expired / over maximum","Over maximum"),IF($J166&lt;TODAY(),"Expired",$L166))))))))</x:f>
      </x:c>
    </x:row>
    <x:row r="167">
      <x:c r="A167" s="8"/>
      <x:c r="B167" s="8"/>
      <x:c r="C167" s="8"/>
      <x:c r="D167" s="8"/>
      <x:c r="E167" s="8"/>
      <x:c r="F167" s="8"/>
      <x:c r="G167" s="8"/>
      <x:c r="H167" s="8"/>
      <x:c r="I167" s="68"/>
      <x:c r="J167" s="68"/>
      <x:c r="K167" s="68"/>
      <x:c r="L167" s="8"/>
      <x:c r="M167" t="str">
        <x:f>IF($A167="","",IF(OR($L167="Closed",$L167="Revoked"),$L167,IF($B167&lt;&gt;"Temporary waiver",$L167,IF($I167="","Missing approval date",IF($J167="","Missing expiry",IF($J167&lt;=$I167,"Invalid dates",IF($J167-$I167&gt;IF('Profile'!$B$11="Baseline",180,90),IF($J167&lt;TODAY(),"Expired / over maximum","Over maximum"),IF($J167&lt;TODAY(),"Expired",$L167))))))))</x:f>
      </x:c>
    </x:row>
    <x:row r="168">
      <x:c r="A168" s="8"/>
      <x:c r="B168" s="8"/>
      <x:c r="C168" s="8"/>
      <x:c r="D168" s="8"/>
      <x:c r="E168" s="8"/>
      <x:c r="F168" s="8"/>
      <x:c r="G168" s="8"/>
      <x:c r="H168" s="8"/>
      <x:c r="I168" s="68"/>
      <x:c r="J168" s="68"/>
      <x:c r="K168" s="68"/>
      <x:c r="L168" s="8"/>
      <x:c r="M168" t="str">
        <x:f>IF($A168="","",IF(OR($L168="Closed",$L168="Revoked"),$L168,IF($B168&lt;&gt;"Temporary waiver",$L168,IF($I168="","Missing approval date",IF($J168="","Missing expiry",IF($J168&lt;=$I168,"Invalid dates",IF($J168-$I168&gt;IF('Profile'!$B$11="Baseline",180,90),IF($J168&lt;TODAY(),"Expired / over maximum","Over maximum"),IF($J168&lt;TODAY(),"Expired",$L168))))))))</x:f>
      </x:c>
    </x:row>
    <x:row r="169">
      <x:c r="A169" s="8"/>
      <x:c r="B169" s="8"/>
      <x:c r="C169" s="8"/>
      <x:c r="D169" s="8"/>
      <x:c r="E169" s="8"/>
      <x:c r="F169" s="8"/>
      <x:c r="G169" s="8"/>
      <x:c r="H169" s="8"/>
      <x:c r="I169" s="68"/>
      <x:c r="J169" s="68"/>
      <x:c r="K169" s="68"/>
      <x:c r="L169" s="8"/>
      <x:c r="M169" t="str">
        <x:f>IF($A169="","",IF(OR($L169="Closed",$L169="Revoked"),$L169,IF($B169&lt;&gt;"Temporary waiver",$L169,IF($I169="","Missing approval date",IF($J169="","Missing expiry",IF($J169&lt;=$I169,"Invalid dates",IF($J169-$I169&gt;IF('Profile'!$B$11="Baseline",180,90),IF($J169&lt;TODAY(),"Expired / over maximum","Over maximum"),IF($J169&lt;TODAY(),"Expired",$L169))))))))</x:f>
      </x:c>
    </x:row>
    <x:row r="170">
      <x:c r="A170" s="8"/>
      <x:c r="B170" s="8"/>
      <x:c r="C170" s="8"/>
      <x:c r="D170" s="8"/>
      <x:c r="E170" s="8"/>
      <x:c r="F170" s="8"/>
      <x:c r="G170" s="8"/>
      <x:c r="H170" s="8"/>
      <x:c r="I170" s="68"/>
      <x:c r="J170" s="68"/>
      <x:c r="K170" s="68"/>
      <x:c r="L170" s="8"/>
      <x:c r="M170" t="str">
        <x:f>IF($A170="","",IF(OR($L170="Closed",$L170="Revoked"),$L170,IF($B170&lt;&gt;"Temporary waiver",$L170,IF($I170="","Missing approval date",IF($J170="","Missing expiry",IF($J170&lt;=$I170,"Invalid dates",IF($J170-$I170&gt;IF('Profile'!$B$11="Baseline",180,90),IF($J170&lt;TODAY(),"Expired / over maximum","Over maximum"),IF($J170&lt;TODAY(),"Expired",$L170))))))))</x:f>
      </x:c>
    </x:row>
    <x:row r="171">
      <x:c r="A171" s="8"/>
      <x:c r="B171" s="8"/>
      <x:c r="C171" s="8"/>
      <x:c r="D171" s="8"/>
      <x:c r="E171" s="8"/>
      <x:c r="F171" s="8"/>
      <x:c r="G171" s="8"/>
      <x:c r="H171" s="8"/>
      <x:c r="I171" s="68"/>
      <x:c r="J171" s="68"/>
      <x:c r="K171" s="68"/>
      <x:c r="L171" s="8"/>
      <x:c r="M171" t="str">
        <x:f>IF($A171="","",IF(OR($L171="Closed",$L171="Revoked"),$L171,IF($B171&lt;&gt;"Temporary waiver",$L171,IF($I171="","Missing approval date",IF($J171="","Missing expiry",IF($J171&lt;=$I171,"Invalid dates",IF($J171-$I171&gt;IF('Profile'!$B$11="Baseline",180,90),IF($J171&lt;TODAY(),"Expired / over maximum","Over maximum"),IF($J171&lt;TODAY(),"Expired",$L171))))))))</x:f>
      </x:c>
    </x:row>
    <x:row r="172">
      <x:c r="A172" s="8"/>
      <x:c r="B172" s="8"/>
      <x:c r="C172" s="8"/>
      <x:c r="D172" s="8"/>
      <x:c r="E172" s="8"/>
      <x:c r="F172" s="8"/>
      <x:c r="G172" s="8"/>
      <x:c r="H172" s="8"/>
      <x:c r="I172" s="68"/>
      <x:c r="J172" s="68"/>
      <x:c r="K172" s="68"/>
      <x:c r="L172" s="8"/>
      <x:c r="M172" t="str">
        <x:f>IF($A172="","",IF(OR($L172="Closed",$L172="Revoked"),$L172,IF($B172&lt;&gt;"Temporary waiver",$L172,IF($I172="","Missing approval date",IF($J172="","Missing expiry",IF($J172&lt;=$I172,"Invalid dates",IF($J172-$I172&gt;IF('Profile'!$B$11="Baseline",180,90),IF($J172&lt;TODAY(),"Expired / over maximum","Over maximum"),IF($J172&lt;TODAY(),"Expired",$L172))))))))</x:f>
      </x:c>
    </x:row>
    <x:row r="173">
      <x:c r="A173" s="8"/>
      <x:c r="B173" s="8"/>
      <x:c r="C173" s="8"/>
      <x:c r="D173" s="8"/>
      <x:c r="E173" s="8"/>
      <x:c r="F173" s="8"/>
      <x:c r="G173" s="8"/>
      <x:c r="H173" s="8"/>
      <x:c r="I173" s="68"/>
      <x:c r="J173" s="68"/>
      <x:c r="K173" s="68"/>
      <x:c r="L173" s="8"/>
      <x:c r="M173" t="str">
        <x:f>IF($A173="","",IF(OR($L173="Closed",$L173="Revoked"),$L173,IF($B173&lt;&gt;"Temporary waiver",$L173,IF($I173="","Missing approval date",IF($J173="","Missing expiry",IF($J173&lt;=$I173,"Invalid dates",IF($J173-$I173&gt;IF('Profile'!$B$11="Baseline",180,90),IF($J173&lt;TODAY(),"Expired / over maximum","Over maximum"),IF($J173&lt;TODAY(),"Expired",$L173))))))))</x:f>
      </x:c>
    </x:row>
    <x:row r="174">
      <x:c r="A174" s="8"/>
      <x:c r="B174" s="8"/>
      <x:c r="C174" s="8"/>
      <x:c r="D174" s="8"/>
      <x:c r="E174" s="8"/>
      <x:c r="F174" s="8"/>
      <x:c r="G174" s="8"/>
      <x:c r="H174" s="8"/>
      <x:c r="I174" s="68"/>
      <x:c r="J174" s="68"/>
      <x:c r="K174" s="68"/>
      <x:c r="L174" s="8"/>
      <x:c r="M174" t="str">
        <x:f>IF($A174="","",IF(OR($L174="Closed",$L174="Revoked"),$L174,IF($B174&lt;&gt;"Temporary waiver",$L174,IF($I174="","Missing approval date",IF($J174="","Missing expiry",IF($J174&lt;=$I174,"Invalid dates",IF($J174-$I174&gt;IF('Profile'!$B$11="Baseline",180,90),IF($J174&lt;TODAY(),"Expired / over maximum","Over maximum"),IF($J174&lt;TODAY(),"Expired",$L174))))))))</x:f>
      </x:c>
    </x:row>
    <x:row r="175">
      <x:c r="A175" s="8"/>
      <x:c r="B175" s="8"/>
      <x:c r="C175" s="8"/>
      <x:c r="D175" s="8"/>
      <x:c r="E175" s="8"/>
      <x:c r="F175" s="8"/>
      <x:c r="G175" s="8"/>
      <x:c r="H175" s="8"/>
      <x:c r="I175" s="68"/>
      <x:c r="J175" s="68"/>
      <x:c r="K175" s="68"/>
      <x:c r="L175" s="8"/>
      <x:c r="M175" t="str">
        <x:f>IF($A175="","",IF(OR($L175="Closed",$L175="Revoked"),$L175,IF($B175&lt;&gt;"Temporary waiver",$L175,IF($I175="","Missing approval date",IF($J175="","Missing expiry",IF($J175&lt;=$I175,"Invalid dates",IF($J175-$I175&gt;IF('Profile'!$B$11="Baseline",180,90),IF($J175&lt;TODAY(),"Expired / over maximum","Over maximum"),IF($J175&lt;TODAY(),"Expired",$L175))))))))</x:f>
      </x:c>
    </x:row>
    <x:row r="176">
      <x:c r="A176" s="8"/>
      <x:c r="B176" s="8"/>
      <x:c r="C176" s="8"/>
      <x:c r="D176" s="8"/>
      <x:c r="E176" s="8"/>
      <x:c r="F176" s="8"/>
      <x:c r="G176" s="8"/>
      <x:c r="H176" s="8"/>
      <x:c r="I176" s="68"/>
      <x:c r="J176" s="68"/>
      <x:c r="K176" s="68"/>
      <x:c r="L176" s="8"/>
      <x:c r="M176" t="str">
        <x:f>IF($A176="","",IF(OR($L176="Closed",$L176="Revoked"),$L176,IF($B176&lt;&gt;"Temporary waiver",$L176,IF($I176="","Missing approval date",IF($J176="","Missing expiry",IF($J176&lt;=$I176,"Invalid dates",IF($J176-$I176&gt;IF('Profile'!$B$11="Baseline",180,90),IF($J176&lt;TODAY(),"Expired / over maximum","Over maximum"),IF($J176&lt;TODAY(),"Expired",$L176))))))))</x:f>
      </x:c>
    </x:row>
    <x:row r="177">
      <x:c r="A177" s="8"/>
      <x:c r="B177" s="8"/>
      <x:c r="C177" s="8"/>
      <x:c r="D177" s="8"/>
      <x:c r="E177" s="8"/>
      <x:c r="F177" s="8"/>
      <x:c r="G177" s="8"/>
      <x:c r="H177" s="8"/>
      <x:c r="I177" s="68"/>
      <x:c r="J177" s="68"/>
      <x:c r="K177" s="68"/>
      <x:c r="L177" s="8"/>
      <x:c r="M177" t="str">
        <x:f>IF($A177="","",IF(OR($L177="Closed",$L177="Revoked"),$L177,IF($B177&lt;&gt;"Temporary waiver",$L177,IF($I177="","Missing approval date",IF($J177="","Missing expiry",IF($J177&lt;=$I177,"Invalid dates",IF($J177-$I177&gt;IF('Profile'!$B$11="Baseline",180,90),IF($J177&lt;TODAY(),"Expired / over maximum","Over maximum"),IF($J177&lt;TODAY(),"Expired",$L177))))))))</x:f>
      </x:c>
    </x:row>
    <x:row r="178">
      <x:c r="A178" s="8"/>
      <x:c r="B178" s="8"/>
      <x:c r="C178" s="8"/>
      <x:c r="D178" s="8"/>
      <x:c r="E178" s="8"/>
      <x:c r="F178" s="8"/>
      <x:c r="G178" s="8"/>
      <x:c r="H178" s="8"/>
      <x:c r="I178" s="68"/>
      <x:c r="J178" s="68"/>
      <x:c r="K178" s="68"/>
      <x:c r="L178" s="8"/>
      <x:c r="M178" t="str">
        <x:f>IF($A178="","",IF(OR($L178="Closed",$L178="Revoked"),$L178,IF($B178&lt;&gt;"Temporary waiver",$L178,IF($I178="","Missing approval date",IF($J178="","Missing expiry",IF($J178&lt;=$I178,"Invalid dates",IF($J178-$I178&gt;IF('Profile'!$B$11="Baseline",180,90),IF($J178&lt;TODAY(),"Expired / over maximum","Over maximum"),IF($J178&lt;TODAY(),"Expired",$L178))))))))</x:f>
      </x:c>
    </x:row>
    <x:row r="179">
      <x:c r="A179" s="8"/>
      <x:c r="B179" s="8"/>
      <x:c r="C179" s="8"/>
      <x:c r="D179" s="8"/>
      <x:c r="E179" s="8"/>
      <x:c r="F179" s="8"/>
      <x:c r="G179" s="8"/>
      <x:c r="H179" s="8"/>
      <x:c r="I179" s="68"/>
      <x:c r="J179" s="68"/>
      <x:c r="K179" s="68"/>
      <x:c r="L179" s="8"/>
      <x:c r="M179" t="str">
        <x:f>IF($A179="","",IF(OR($L179="Closed",$L179="Revoked"),$L179,IF($B179&lt;&gt;"Temporary waiver",$L179,IF($I179="","Missing approval date",IF($J179="","Missing expiry",IF($J179&lt;=$I179,"Invalid dates",IF($J179-$I179&gt;IF('Profile'!$B$11="Baseline",180,90),IF($J179&lt;TODAY(),"Expired / over maximum","Over maximum"),IF($J179&lt;TODAY(),"Expired",$L179))))))))</x:f>
      </x:c>
    </x:row>
    <x:row r="180">
      <x:c r="A180" s="8"/>
      <x:c r="B180" s="8"/>
      <x:c r="C180" s="8"/>
      <x:c r="D180" s="8"/>
      <x:c r="E180" s="8"/>
      <x:c r="F180" s="8"/>
      <x:c r="G180" s="8"/>
      <x:c r="H180" s="8"/>
      <x:c r="I180" s="68"/>
      <x:c r="J180" s="68"/>
      <x:c r="K180" s="68"/>
      <x:c r="L180" s="8"/>
      <x:c r="M180" t="str">
        <x:f>IF($A180="","",IF(OR($L180="Closed",$L180="Revoked"),$L180,IF($B180&lt;&gt;"Temporary waiver",$L180,IF($I180="","Missing approval date",IF($J180="","Missing expiry",IF($J180&lt;=$I180,"Invalid dates",IF($J180-$I180&gt;IF('Profile'!$B$11="Baseline",180,90),IF($J180&lt;TODAY(),"Expired / over maximum","Over maximum"),IF($J180&lt;TODAY(),"Expired",$L180))))))))</x:f>
      </x:c>
    </x:row>
    <x:row r="181">
      <x:c r="A181" s="8"/>
      <x:c r="B181" s="8"/>
      <x:c r="C181" s="8"/>
      <x:c r="D181" s="8"/>
      <x:c r="E181" s="8"/>
      <x:c r="F181" s="8"/>
      <x:c r="G181" s="8"/>
      <x:c r="H181" s="8"/>
      <x:c r="I181" s="68"/>
      <x:c r="J181" s="68"/>
      <x:c r="K181" s="68"/>
      <x:c r="L181" s="8"/>
      <x:c r="M181" t="str">
        <x:f>IF($A181="","",IF(OR($L181="Closed",$L181="Revoked"),$L181,IF($B181&lt;&gt;"Temporary waiver",$L181,IF($I181="","Missing approval date",IF($J181="","Missing expiry",IF($J181&lt;=$I181,"Invalid dates",IF($J181-$I181&gt;IF('Profile'!$B$11="Baseline",180,90),IF($J181&lt;TODAY(),"Expired / over maximum","Over maximum"),IF($J181&lt;TODAY(),"Expired",$L181))))))))</x:f>
      </x:c>
    </x:row>
    <x:row r="182">
      <x:c r="A182" s="8"/>
      <x:c r="B182" s="8"/>
      <x:c r="C182" s="8"/>
      <x:c r="D182" s="8"/>
      <x:c r="E182" s="8"/>
      <x:c r="F182" s="8"/>
      <x:c r="G182" s="8"/>
      <x:c r="H182" s="8"/>
      <x:c r="I182" s="68"/>
      <x:c r="J182" s="68"/>
      <x:c r="K182" s="68"/>
      <x:c r="L182" s="8"/>
      <x:c r="M182" t="str">
        <x:f>IF($A182="","",IF(OR($L182="Closed",$L182="Revoked"),$L182,IF($B182&lt;&gt;"Temporary waiver",$L182,IF($I182="","Missing approval date",IF($J182="","Missing expiry",IF($J182&lt;=$I182,"Invalid dates",IF($J182-$I182&gt;IF('Profile'!$B$11="Baseline",180,90),IF($J182&lt;TODAY(),"Expired / over maximum","Over maximum"),IF($J182&lt;TODAY(),"Expired",$L182))))))))</x:f>
      </x:c>
    </x:row>
    <x:row r="183">
      <x:c r="A183" s="8"/>
      <x:c r="B183" s="8"/>
      <x:c r="C183" s="8"/>
      <x:c r="D183" s="8"/>
      <x:c r="E183" s="8"/>
      <x:c r="F183" s="8"/>
      <x:c r="G183" s="8"/>
      <x:c r="H183" s="8"/>
      <x:c r="I183" s="68"/>
      <x:c r="J183" s="68"/>
      <x:c r="K183" s="68"/>
      <x:c r="L183" s="8"/>
      <x:c r="M183" t="str">
        <x:f>IF($A183="","",IF(OR($L183="Closed",$L183="Revoked"),$L183,IF($B183&lt;&gt;"Temporary waiver",$L183,IF($I183="","Missing approval date",IF($J183="","Missing expiry",IF($J183&lt;=$I183,"Invalid dates",IF($J183-$I183&gt;IF('Profile'!$B$11="Baseline",180,90),IF($J183&lt;TODAY(),"Expired / over maximum","Over maximum"),IF($J183&lt;TODAY(),"Expired",$L183))))))))</x:f>
      </x:c>
    </x:row>
    <x:row r="184">
      <x:c r="A184" s="8"/>
      <x:c r="B184" s="8"/>
      <x:c r="C184" s="8"/>
      <x:c r="D184" s="8"/>
      <x:c r="E184" s="8"/>
      <x:c r="F184" s="8"/>
      <x:c r="G184" s="8"/>
      <x:c r="H184" s="8"/>
      <x:c r="I184" s="68"/>
      <x:c r="J184" s="68"/>
      <x:c r="K184" s="68"/>
      <x:c r="L184" s="8"/>
      <x:c r="M184" t="str">
        <x:f>IF($A184="","",IF(OR($L184="Closed",$L184="Revoked"),$L184,IF($B184&lt;&gt;"Temporary waiver",$L184,IF($I184="","Missing approval date",IF($J184="","Missing expiry",IF($J184&lt;=$I184,"Invalid dates",IF($J184-$I184&gt;IF('Profile'!$B$11="Baseline",180,90),IF($J184&lt;TODAY(),"Expired / over maximum","Over maximum"),IF($J184&lt;TODAY(),"Expired",$L184))))))))</x:f>
      </x:c>
    </x:row>
    <x:row r="185">
      <x:c r="A185" s="8"/>
      <x:c r="B185" s="8"/>
      <x:c r="C185" s="8"/>
      <x:c r="D185" s="8"/>
      <x:c r="E185" s="8"/>
      <x:c r="F185" s="8"/>
      <x:c r="G185" s="8"/>
      <x:c r="H185" s="8"/>
      <x:c r="I185" s="68"/>
      <x:c r="J185" s="68"/>
      <x:c r="K185" s="68"/>
      <x:c r="L185" s="8"/>
      <x:c r="M185" t="str">
        <x:f>IF($A185="","",IF(OR($L185="Closed",$L185="Revoked"),$L185,IF($B185&lt;&gt;"Temporary waiver",$L185,IF($I185="","Missing approval date",IF($J185="","Missing expiry",IF($J185&lt;=$I185,"Invalid dates",IF($J185-$I185&gt;IF('Profile'!$B$11="Baseline",180,90),IF($J185&lt;TODAY(),"Expired / over maximum","Over maximum"),IF($J185&lt;TODAY(),"Expired",$L185))))))))</x:f>
      </x:c>
    </x:row>
    <x:row r="186">
      <x:c r="A186" s="8"/>
      <x:c r="B186" s="8"/>
      <x:c r="C186" s="8"/>
      <x:c r="D186" s="8"/>
      <x:c r="E186" s="8"/>
      <x:c r="F186" s="8"/>
      <x:c r="G186" s="8"/>
      <x:c r="H186" s="8"/>
      <x:c r="I186" s="68"/>
      <x:c r="J186" s="68"/>
      <x:c r="K186" s="68"/>
      <x:c r="L186" s="8"/>
      <x:c r="M186" t="str">
        <x:f>IF($A186="","",IF(OR($L186="Closed",$L186="Revoked"),$L186,IF($B186&lt;&gt;"Temporary waiver",$L186,IF($I186="","Missing approval date",IF($J186="","Missing expiry",IF($J186&lt;=$I186,"Invalid dates",IF($J186-$I186&gt;IF('Profile'!$B$11="Baseline",180,90),IF($J186&lt;TODAY(),"Expired / over maximum","Over maximum"),IF($J186&lt;TODAY(),"Expired",$L186))))))))</x:f>
      </x:c>
    </x:row>
    <x:row r="187">
      <x:c r="A187" s="8"/>
      <x:c r="B187" s="8"/>
      <x:c r="C187" s="8"/>
      <x:c r="D187" s="8"/>
      <x:c r="E187" s="8"/>
      <x:c r="F187" s="8"/>
      <x:c r="G187" s="8"/>
      <x:c r="H187" s="8"/>
      <x:c r="I187" s="68"/>
      <x:c r="J187" s="68"/>
      <x:c r="K187" s="68"/>
      <x:c r="L187" s="8"/>
      <x:c r="M187" t="str">
        <x:f>IF($A187="","",IF(OR($L187="Closed",$L187="Revoked"),$L187,IF($B187&lt;&gt;"Temporary waiver",$L187,IF($I187="","Missing approval date",IF($J187="","Missing expiry",IF($J187&lt;=$I187,"Invalid dates",IF($J187-$I187&gt;IF('Profile'!$B$11="Baseline",180,90),IF($J187&lt;TODAY(),"Expired / over maximum","Over maximum"),IF($J187&lt;TODAY(),"Expired",$L187))))))))</x:f>
      </x:c>
    </x:row>
    <x:row r="188">
      <x:c r="A188" s="8"/>
      <x:c r="B188" s="8"/>
      <x:c r="C188" s="8"/>
      <x:c r="D188" s="8"/>
      <x:c r="E188" s="8"/>
      <x:c r="F188" s="8"/>
      <x:c r="G188" s="8"/>
      <x:c r="H188" s="8"/>
      <x:c r="I188" s="68"/>
      <x:c r="J188" s="68"/>
      <x:c r="K188" s="68"/>
      <x:c r="L188" s="8"/>
      <x:c r="M188" t="str">
        <x:f>IF($A188="","",IF(OR($L188="Closed",$L188="Revoked"),$L188,IF($B188&lt;&gt;"Temporary waiver",$L188,IF($I188="","Missing approval date",IF($J188="","Missing expiry",IF($J188&lt;=$I188,"Invalid dates",IF($J188-$I188&gt;IF('Profile'!$B$11="Baseline",180,90),IF($J188&lt;TODAY(),"Expired / over maximum","Over maximum"),IF($J188&lt;TODAY(),"Expired",$L188))))))))</x:f>
      </x:c>
    </x:row>
    <x:row r="189">
      <x:c r="A189" s="8"/>
      <x:c r="B189" s="8"/>
      <x:c r="C189" s="8"/>
      <x:c r="D189" s="8"/>
      <x:c r="E189" s="8"/>
      <x:c r="F189" s="8"/>
      <x:c r="G189" s="8"/>
      <x:c r="H189" s="8"/>
      <x:c r="I189" s="68"/>
      <x:c r="J189" s="68"/>
      <x:c r="K189" s="68"/>
      <x:c r="L189" s="8"/>
      <x:c r="M189" t="str">
        <x:f>IF($A189="","",IF(OR($L189="Closed",$L189="Revoked"),$L189,IF($B189&lt;&gt;"Temporary waiver",$L189,IF($I189="","Missing approval date",IF($J189="","Missing expiry",IF($J189&lt;=$I189,"Invalid dates",IF($J189-$I189&gt;IF('Profile'!$B$11="Baseline",180,90),IF($J189&lt;TODAY(),"Expired / over maximum","Over maximum"),IF($J189&lt;TODAY(),"Expired",$L189))))))))</x:f>
      </x:c>
    </x:row>
    <x:row r="190">
      <x:c r="A190" s="8"/>
      <x:c r="B190" s="8"/>
      <x:c r="C190" s="8"/>
      <x:c r="D190" s="8"/>
      <x:c r="E190" s="8"/>
      <x:c r="F190" s="8"/>
      <x:c r="G190" s="8"/>
      <x:c r="H190" s="8"/>
      <x:c r="I190" s="68"/>
      <x:c r="J190" s="68"/>
      <x:c r="K190" s="68"/>
      <x:c r="L190" s="8"/>
      <x:c r="M190" t="str">
        <x:f>IF($A190="","",IF(OR($L190="Closed",$L190="Revoked"),$L190,IF($B190&lt;&gt;"Temporary waiver",$L190,IF($I190="","Missing approval date",IF($J190="","Missing expiry",IF($J190&lt;=$I190,"Invalid dates",IF($J190-$I190&gt;IF('Profile'!$B$11="Baseline",180,90),IF($J190&lt;TODAY(),"Expired / over maximum","Over maximum"),IF($J190&lt;TODAY(),"Expired",$L190))))))))</x:f>
      </x:c>
    </x:row>
    <x:row r="191">
      <x:c r="A191" s="8"/>
      <x:c r="B191" s="8"/>
      <x:c r="C191" s="8"/>
      <x:c r="D191" s="8"/>
      <x:c r="E191" s="8"/>
      <x:c r="F191" s="8"/>
      <x:c r="G191" s="8"/>
      <x:c r="H191" s="8"/>
      <x:c r="I191" s="68"/>
      <x:c r="J191" s="68"/>
      <x:c r="K191" s="68"/>
      <x:c r="L191" s="8"/>
      <x:c r="M191" t="str">
        <x:f>IF($A191="","",IF(OR($L191="Closed",$L191="Revoked"),$L191,IF($B191&lt;&gt;"Temporary waiver",$L191,IF($I191="","Missing approval date",IF($J191="","Missing expiry",IF($J191&lt;=$I191,"Invalid dates",IF($J191-$I191&gt;IF('Profile'!$B$11="Baseline",180,90),IF($J191&lt;TODAY(),"Expired / over maximum","Over maximum"),IF($J191&lt;TODAY(),"Expired",$L191))))))))</x:f>
      </x:c>
    </x:row>
    <x:row r="192">
      <x:c r="A192" s="8"/>
      <x:c r="B192" s="8"/>
      <x:c r="C192" s="8"/>
      <x:c r="D192" s="8"/>
      <x:c r="E192" s="8"/>
      <x:c r="F192" s="8"/>
      <x:c r="G192" s="8"/>
      <x:c r="H192" s="8"/>
      <x:c r="I192" s="68"/>
      <x:c r="J192" s="68"/>
      <x:c r="K192" s="68"/>
      <x:c r="L192" s="8"/>
      <x:c r="M192" t="str">
        <x:f>IF($A192="","",IF(OR($L192="Closed",$L192="Revoked"),$L192,IF($B192&lt;&gt;"Temporary waiver",$L192,IF($I192="","Missing approval date",IF($J192="","Missing expiry",IF($J192&lt;=$I192,"Invalid dates",IF($J192-$I192&gt;IF('Profile'!$B$11="Baseline",180,90),IF($J192&lt;TODAY(),"Expired / over maximum","Over maximum"),IF($J192&lt;TODAY(),"Expired",$L192))))))))</x:f>
      </x:c>
    </x:row>
    <x:row r="193">
      <x:c r="A193" s="8"/>
      <x:c r="B193" s="8"/>
      <x:c r="C193" s="8"/>
      <x:c r="D193" s="8"/>
      <x:c r="E193" s="8"/>
      <x:c r="F193" s="8"/>
      <x:c r="G193" s="8"/>
      <x:c r="H193" s="8"/>
      <x:c r="I193" s="68"/>
      <x:c r="J193" s="68"/>
      <x:c r="K193" s="68"/>
      <x:c r="L193" s="8"/>
      <x:c r="M193" t="str">
        <x:f>IF($A193="","",IF(OR($L193="Closed",$L193="Revoked"),$L193,IF($B193&lt;&gt;"Temporary waiver",$L193,IF($I193="","Missing approval date",IF($J193="","Missing expiry",IF($J193&lt;=$I193,"Invalid dates",IF($J193-$I193&gt;IF('Profile'!$B$11="Baseline",180,90),IF($J193&lt;TODAY(),"Expired / over maximum","Over maximum"),IF($J193&lt;TODAY(),"Expired",$L193))))))))</x:f>
      </x:c>
    </x:row>
    <x:row r="194">
      <x:c r="A194" s="8"/>
      <x:c r="B194" s="8"/>
      <x:c r="C194" s="8"/>
      <x:c r="D194" s="8"/>
      <x:c r="E194" s="8"/>
      <x:c r="F194" s="8"/>
      <x:c r="G194" s="8"/>
      <x:c r="H194" s="8"/>
      <x:c r="I194" s="68"/>
      <x:c r="J194" s="68"/>
      <x:c r="K194" s="68"/>
      <x:c r="L194" s="8"/>
      <x:c r="M194" t="str">
        <x:f>IF($A194="","",IF(OR($L194="Closed",$L194="Revoked"),$L194,IF($B194&lt;&gt;"Temporary waiver",$L194,IF($I194="","Missing approval date",IF($J194="","Missing expiry",IF($J194&lt;=$I194,"Invalid dates",IF($J194-$I194&gt;IF('Profile'!$B$11="Baseline",180,90),IF($J194&lt;TODAY(),"Expired / over maximum","Over maximum"),IF($J194&lt;TODAY(),"Expired",$L194))))))))</x:f>
      </x:c>
    </x:row>
    <x:row r="195">
      <x:c r="A195" s="8"/>
      <x:c r="B195" s="8"/>
      <x:c r="C195" s="8"/>
      <x:c r="D195" s="8"/>
      <x:c r="E195" s="8"/>
      <x:c r="F195" s="8"/>
      <x:c r="G195" s="8"/>
      <x:c r="H195" s="8"/>
      <x:c r="I195" s="68"/>
      <x:c r="J195" s="68"/>
      <x:c r="K195" s="68"/>
      <x:c r="L195" s="8"/>
      <x:c r="M195" t="str">
        <x:f>IF($A195="","",IF(OR($L195="Closed",$L195="Revoked"),$L195,IF($B195&lt;&gt;"Temporary waiver",$L195,IF($I195="","Missing approval date",IF($J195="","Missing expiry",IF($J195&lt;=$I195,"Invalid dates",IF($J195-$I195&gt;IF('Profile'!$B$11="Baseline",180,90),IF($J195&lt;TODAY(),"Expired / over maximum","Over maximum"),IF($J195&lt;TODAY(),"Expired",$L195))))))))</x:f>
      </x:c>
    </x:row>
    <x:row r="196">
      <x:c r="A196" s="8"/>
      <x:c r="B196" s="8"/>
      <x:c r="C196" s="8"/>
      <x:c r="D196" s="8"/>
      <x:c r="E196" s="8"/>
      <x:c r="F196" s="8"/>
      <x:c r="G196" s="8"/>
      <x:c r="H196" s="8"/>
      <x:c r="I196" s="68"/>
      <x:c r="J196" s="68"/>
      <x:c r="K196" s="68"/>
      <x:c r="L196" s="8"/>
      <x:c r="M196" t="str">
        <x:f>IF($A196="","",IF(OR($L196="Closed",$L196="Revoked"),$L196,IF($B196&lt;&gt;"Temporary waiver",$L196,IF($I196="","Missing approval date",IF($J196="","Missing expiry",IF($J196&lt;=$I196,"Invalid dates",IF($J196-$I196&gt;IF('Profile'!$B$11="Baseline",180,90),IF($J196&lt;TODAY(),"Expired / over maximum","Over maximum"),IF($J196&lt;TODAY(),"Expired",$L196))))))))</x:f>
      </x:c>
    </x:row>
    <x:row r="197">
      <x:c r="A197" s="8"/>
      <x:c r="B197" s="8"/>
      <x:c r="C197" s="8"/>
      <x:c r="D197" s="8"/>
      <x:c r="E197" s="8"/>
      <x:c r="F197" s="8"/>
      <x:c r="G197" s="8"/>
      <x:c r="H197" s="8"/>
      <x:c r="I197" s="68"/>
      <x:c r="J197" s="68"/>
      <x:c r="K197" s="68"/>
      <x:c r="L197" s="8"/>
      <x:c r="M197" t="str">
        <x:f>IF($A197="","",IF(OR($L197="Closed",$L197="Revoked"),$L197,IF($B197&lt;&gt;"Temporary waiver",$L197,IF($I197="","Missing approval date",IF($J197="","Missing expiry",IF($J197&lt;=$I197,"Invalid dates",IF($J197-$I197&gt;IF('Profile'!$B$11="Baseline",180,90),IF($J197&lt;TODAY(),"Expired / over maximum","Over maximum"),IF($J197&lt;TODAY(),"Expired",$L197))))))))</x:f>
      </x:c>
    </x:row>
    <x:row r="198">
      <x:c r="A198" s="8"/>
      <x:c r="B198" s="8"/>
      <x:c r="C198" s="8"/>
      <x:c r="D198" s="8"/>
      <x:c r="E198" s="8"/>
      <x:c r="F198" s="8"/>
      <x:c r="G198" s="8"/>
      <x:c r="H198" s="8"/>
      <x:c r="I198" s="68"/>
      <x:c r="J198" s="68"/>
      <x:c r="K198" s="68"/>
      <x:c r="L198" s="8"/>
      <x:c r="M198" t="str">
        <x:f>IF($A198="","",IF(OR($L198="Closed",$L198="Revoked"),$L198,IF($B198&lt;&gt;"Temporary waiver",$L198,IF($I198="","Missing approval date",IF($J198="","Missing expiry",IF($J198&lt;=$I198,"Invalid dates",IF($J198-$I198&gt;IF('Profile'!$B$11="Baseline",180,90),IF($J198&lt;TODAY(),"Expired / over maximum","Over maximum"),IF($J198&lt;TODAY(),"Expired",$L198))))))))</x:f>
      </x:c>
    </x:row>
    <x:row r="199">
      <x:c r="A199" s="8"/>
      <x:c r="B199" s="8"/>
      <x:c r="C199" s="8"/>
      <x:c r="D199" s="8"/>
      <x:c r="E199" s="8"/>
      <x:c r="F199" s="8"/>
      <x:c r="G199" s="8"/>
      <x:c r="H199" s="8"/>
      <x:c r="I199" s="68"/>
      <x:c r="J199" s="68"/>
      <x:c r="K199" s="68"/>
      <x:c r="L199" s="8"/>
      <x:c r="M199" t="str">
        <x:f>IF($A199="","",IF(OR($L199="Closed",$L199="Revoked"),$L199,IF($B199&lt;&gt;"Temporary waiver",$L199,IF($I199="","Missing approval date",IF($J199="","Missing expiry",IF($J199&lt;=$I199,"Invalid dates",IF($J199-$I199&gt;IF('Profile'!$B$11="Baseline",180,90),IF($J199&lt;TODAY(),"Expired / over maximum","Over maximum"),IF($J199&lt;TODAY(),"Expired",$L199))))))))</x:f>
      </x:c>
    </x:row>
    <x:row r="200">
      <x:c r="A200" s="8"/>
      <x:c r="B200" s="8"/>
      <x:c r="C200" s="8"/>
      <x:c r="D200" s="8"/>
      <x:c r="E200" s="8"/>
      <x:c r="F200" s="8"/>
      <x:c r="G200" s="8"/>
      <x:c r="H200" s="8"/>
      <x:c r="I200" s="68"/>
      <x:c r="J200" s="68"/>
      <x:c r="K200" s="68"/>
      <x:c r="L200" s="8"/>
      <x:c r="M200" t="str">
        <x:f>IF($A200="","",IF(OR($L200="Closed",$L200="Revoked"),$L200,IF($B200&lt;&gt;"Temporary waiver",$L200,IF($I200="","Missing approval date",IF($J200="","Missing expiry",IF($J200&lt;=$I200,"Invalid dates",IF($J200-$I200&gt;IF('Profile'!$B$11="Baseline",180,90),IF($J200&lt;TODAY(),"Expired / over maximum","Over maximum"),IF($J200&lt;TODAY(),"Expired",$L200))))))))</x:f>
      </x:c>
    </x:row>
    <x:row r="201">
      <x:c r="A201" s="8"/>
      <x:c r="B201" s="8"/>
      <x:c r="C201" s="8"/>
      <x:c r="D201" s="8"/>
      <x:c r="E201" s="8"/>
      <x:c r="F201" s="8"/>
      <x:c r="G201" s="8"/>
      <x:c r="H201" s="8"/>
      <x:c r="I201" s="68"/>
      <x:c r="J201" s="68"/>
      <x:c r="K201" s="68"/>
      <x:c r="L201" s="8"/>
      <x:c r="M201" t="str">
        <x:f>IF($A201="","",IF(OR($L201="Closed",$L201="Revoked"),$L201,IF($B201&lt;&gt;"Temporary waiver",$L201,IF($I201="","Missing approval date",IF($J201="","Missing expiry",IF($J201&lt;=$I201,"Invalid dates",IF($J201-$I201&gt;IF('Profile'!$B$11="Baseline",180,90),IF($J201&lt;TODAY(),"Expired / over maximum","Over maximum"),IF($J201&lt;TODAY(),"Expired",$L201))))))))</x:f>
      </x:c>
    </x:row>
    <x:row r="202">
      <x:c r="A202" s="8"/>
      <x:c r="B202" s="8"/>
      <x:c r="C202" s="8"/>
      <x:c r="D202" s="8"/>
      <x:c r="E202" s="8"/>
      <x:c r="F202" s="8"/>
      <x:c r="G202" s="8"/>
      <x:c r="H202" s="8"/>
      <x:c r="I202" s="68"/>
      <x:c r="J202" s="68"/>
      <x:c r="K202" s="68"/>
      <x:c r="L202" s="8"/>
      <x:c r="M202" t="str">
        <x:f>IF($A202="","",IF(OR($L202="Closed",$L202="Revoked"),$L202,IF($B202&lt;&gt;"Temporary waiver",$L202,IF($I202="","Missing approval date",IF($J202="","Missing expiry",IF($J202&lt;=$I202,"Invalid dates",IF($J202-$I202&gt;IF('Profile'!$B$11="Baseline",180,90),IF($J202&lt;TODAY(),"Expired / over maximum","Over maximum"),IF($J202&lt;TODAY(),"Expired",$L202))))))))</x:f>
      </x:c>
    </x:row>
    <x:row r="203">
      <x:c r="A203" s="8"/>
      <x:c r="B203" s="8"/>
      <x:c r="C203" s="8"/>
      <x:c r="D203" s="8"/>
      <x:c r="E203" s="8"/>
      <x:c r="F203" s="8"/>
      <x:c r="G203" s="8"/>
      <x:c r="H203" s="8"/>
      <x:c r="I203" s="68"/>
      <x:c r="J203" s="68"/>
      <x:c r="K203" s="68"/>
      <x:c r="L203" s="8"/>
      <x:c r="M203" t="str">
        <x:f>IF($A203="","",IF(OR($L203="Closed",$L203="Revoked"),$L203,IF($B203&lt;&gt;"Temporary waiver",$L203,IF($I203="","Missing approval date",IF($J203="","Missing expiry",IF($J203&lt;=$I203,"Invalid dates",IF($J203-$I203&gt;IF('Profile'!$B$11="Baseline",180,90),IF($J203&lt;TODAY(),"Expired / over maximum","Over maximum"),IF($J203&lt;TODAY(),"Expired",$L203))))))))</x:f>
      </x:c>
    </x:row>
    <x:row r="204">
      <x:c r="A204" s="8"/>
      <x:c r="B204" s="8"/>
      <x:c r="C204" s="8"/>
      <x:c r="D204" s="8"/>
      <x:c r="E204" s="8"/>
      <x:c r="F204" s="8"/>
      <x:c r="G204" s="8"/>
      <x:c r="H204" s="8"/>
      <x:c r="I204" s="68"/>
      <x:c r="J204" s="68"/>
      <x:c r="K204" s="68"/>
      <x:c r="L204" s="8"/>
      <x:c r="M204" t="str">
        <x:f>IF($A204="","",IF(OR($L204="Closed",$L204="Revoked"),$L204,IF($B204&lt;&gt;"Temporary waiver",$L204,IF($I204="","Missing approval date",IF($J204="","Missing expiry",IF($J204&lt;=$I204,"Invalid dates",IF($J204-$I204&gt;IF('Profile'!$B$11="Baseline",180,90),IF($J204&lt;TODAY(),"Expired / over maximum","Over maximum"),IF($J204&lt;TODAY(),"Expired",$L204))))))))</x:f>
      </x:c>
    </x:row>
  </x:sheetData>
  <x:mergeCells>
    <x:mergeCell ref="A1:M1"/>
    <x:mergeCell ref="A2:M2"/>
  </x:mergeCells>
  <x:conditionalFormatting sqref="M5:M204">
    <x:cfRule type="cellIs" dxfId="13" priority="1" operator="equal">
      <x:formula>"Expired"</x:formula>
    </x:cfRule>
    <x:cfRule type="cellIs" dxfId="14" priority="2" operator="equal">
      <x:formula>"Over maximum"</x:formula>
    </x:cfRule>
    <x:cfRule type="cellIs" dxfId="15" priority="3" operator="equal">
      <x:formula>"Expired / over maximum"</x:formula>
    </x:cfRule>
    <x:cfRule type="cellIs" dxfId="16" priority="4" operator="equal">
      <x:formula>"Invalid dates"</x:formula>
    </x:cfRule>
    <x:cfRule type="cellIs" dxfId="17" priority="5" operator="equal">
      <x:formula>"Missing expiry"</x:formula>
    </x:cfRule>
    <x:cfRule type="cellIs" dxfId="18" priority="6" operator="equal">
      <x:formula>"Missing approval date"</x:formula>
    </x:cfRule>
  </x:conditionalFormatting>
  <x:dataValidations count="2">
    <x:dataValidation type="list" sqref="B5:B204">
      <x:formula1>"N/A determination,Equivalent control,Temporary waiver"</x:formula1>
    </x:dataValidation>
    <x:dataValidation type="list" sqref="L5:L204">
      <x:formula1>"Proposed,Active,Expired,Revoked,Closed"</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4" hidden="0" customWidth="1"/>
    <x:col min="4" max="4" width="22" hidden="0" customWidth="1"/>
    <x:col min="5" max="5" width="22" hidden="0" customWidth="1"/>
    <x:col min="6" max="6" width="28" hidden="0" customWidth="1"/>
    <x:col min="7" max="7" width="18" hidden="0" customWidth="1"/>
    <x:col min="8" max="8" width="22" hidden="0" customWidth="1"/>
    <x:col min="9" max="9" width="18" hidden="0" customWidth="1"/>
    <x:col min="10" max="10" width="42" hidden="0" customWidth="1"/>
    <x:col min="11" max="11" width="18" hidden="0" customWidth="1"/>
  </x:cols>
  <x:sheetData>
    <x:row r="1" ht="28" customHeight="1">
      <x:c r="A1" s="3" t="str">
        <x:v>DORA Outcome Panel — Separate from Repository Health Score</x:v>
      </x:c>
      <x:c r="B1" s="3" t="str">
        <x:v>DORA Outcome Panel — Separate from Repository Health Score</x:v>
      </x:c>
      <x:c r="C1" s="3" t="str">
        <x:v>DORA Outcome Panel — Separate from Repository Health Score</x:v>
      </x:c>
      <x:c r="D1" s="3" t="str">
        <x:v>DORA Outcome Panel — Separate from Repository Health Score</x:v>
      </x:c>
      <x:c r="E1" s="3" t="str">
        <x:v>DORA Outcome Panel — Separate from Repository Health Score</x:v>
      </x:c>
      <x:c r="F1" s="3" t="str">
        <x:v>DORA Outcome Panel — Separate from Repository Health Score</x:v>
      </x:c>
      <x:c r="G1" s="3" t="str">
        <x:v>DORA Outcome Panel — Separate from Repository Health Score</x:v>
      </x:c>
      <x:c r="H1" s="3" t="str">
        <x:v>DORA Outcome Panel — Separate from Repository Health Score</x:v>
      </x:c>
      <x:c r="I1" s="3" t="str">
        <x:v>DORA Outcome Panel — Separate from Repository Health Score</x:v>
      </x:c>
      <x:c r="J1" s="3" t="str">
        <x:v>DORA Outcome Panel — Separate from Repository Health Score</x:v>
      </x:c>
      <x:c r="K1" s="3" t="str">
        <x:v>DORA Outcome Panel — Separate from Repository Health Score</x:v>
      </x:c>
    </x:row>
    <x:row r="2" ht="30" customHeight="1">
      <x:c r="A2" s="7" t="str">
        <x:v>Use application/service context and trends. Do not aggregate unlike services or use these measures to alter the repository-health grade.</x:v>
      </x:c>
      <x:c r="B2" s="7" t="str">
        <x:v>Use application/service context and trends. Do not aggregate unlike services or use these measures to alter the repository-health grade.</x:v>
      </x:c>
      <x:c r="C2" s="7" t="str">
        <x:v>Use application/service context and trends. Do not aggregate unlike services or use these measures to alter the repository-health grade.</x:v>
      </x:c>
      <x:c r="D2" s="7" t="str">
        <x:v>Use application/service context and trends. Do not aggregate unlike services or use these measures to alter the repository-health grade.</x:v>
      </x:c>
      <x:c r="E2" s="7" t="str">
        <x:v>Use application/service context and trends. Do not aggregate unlike services or use these measures to alter the repository-health grade.</x:v>
      </x:c>
      <x:c r="F2" s="7" t="str">
        <x:v>Use application/service context and trends. Do not aggregate unlike services or use these measures to alter the repository-health grade.</x:v>
      </x:c>
      <x:c r="G2" s="7" t="str">
        <x:v>Use application/service context and trends. Do not aggregate unlike services or use these measures to alter the repository-health grade.</x:v>
      </x:c>
      <x:c r="H2" s="7" t="str">
        <x:v>Use application/service context and trends. Do not aggregate unlike services or use these measures to alter the repository-health grade.</x:v>
      </x:c>
      <x:c r="I2" s="7" t="str">
        <x:v>Use application/service context and trends. Do not aggregate unlike services or use these measures to alter the repository-health grade.</x:v>
      </x:c>
      <x:c r="J2" s="7" t="str">
        <x:v>Use application/service context and trends. Do not aggregate unlike services or use these measures to alter the repository-health grade.</x:v>
      </x:c>
      <x:c r="K2" s="7" t="str">
        <x:v>Use application/service context and trends. Do not aggregate unlike services or use these measures to alter the repository-health grade.</x:v>
      </x:c>
    </x:row>
    <x:row r="3">
      <x:c r="A3" s="70" t="str">
        <x:v>informative_only: true — excluded from repository-health scoring, foundational gates, and maturity.</x:v>
      </x:c>
      <x:c r="B3" s="70"/>
      <x:c r="C3" s="70"/>
      <x:c r="D3" s="70"/>
      <x:c r="E3" s="70"/>
      <x:c r="F3" s="70"/>
      <x:c r="G3" s="70"/>
      <x:c r="H3" s="70"/>
      <x:c r="I3" s="70"/>
      <x:c r="J3" s="70"/>
      <x:c r="K3" s="70"/>
    </x:row>
    <x:row r="4" ht="30" customHeight="1">
      <x:c r="A4" s="24" t="str">
        <x:v>Application/service</x:v>
      </x:c>
      <x:c r="B4" s="24" t="str">
        <x:v>Period start</x:v>
      </x:c>
      <x:c r="C4" s="24" t="str">
        <x:v>Period end</x:v>
      </x:c>
      <x:c r="D4" s="24" t="str">
        <x:v>Deployment frequency / week</x:v>
      </x:c>
      <x:c r="E4" s="24" t="str">
        <x:v>Change lead time (hours)</x:v>
      </x:c>
      <x:c r="F4" s="24" t="str">
        <x:v>Failed deployment recovery (hours)</x:v>
      </x:c>
      <x:c r="G4" s="24" t="str">
        <x:v>Change fail rate</x:v>
      </x:c>
      <x:c r="H4" s="24" t="str">
        <x:v>Deployment rework rate</x:v>
      </x:c>
      <x:c r="I4" s="24" t="str">
        <x:v>Evidence IDs</x:v>
      </x:c>
      <x:c r="J4" s="24" t="str">
        <x:v>Context/notes</x:v>
      </x:c>
      <x:c r="K4" s="24" t="str">
        <x:v>informative_only</x:v>
      </x:c>
    </x:row>
    <x:row r="5">
      <x:c r="A5" s="53"/>
      <x:c r="B5" s="67"/>
      <x:c r="C5" s="67"/>
      <x:c r="D5" s="74"/>
      <x:c r="E5" s="74"/>
      <x:c r="F5" s="74"/>
      <x:c r="G5" s="75"/>
      <x:c r="H5" s="75"/>
      <x:c r="I5" s="53"/>
      <x:c r="J5" s="53"/>
      <x:c r="K5" s="76" t="str">
        <x:f>IF($A5="","",TRUE)</x:f>
      </x:c>
    </x:row>
    <x:row r="6">
      <x:c r="A6" s="53"/>
      <x:c r="B6" s="67"/>
      <x:c r="C6" s="67"/>
      <x:c r="D6" s="74"/>
      <x:c r="E6" s="74"/>
      <x:c r="F6" s="74"/>
      <x:c r="G6" s="75"/>
      <x:c r="H6" s="75"/>
      <x:c r="I6" s="53"/>
      <x:c r="J6" s="53"/>
      <x:c r="K6" s="76" t="str">
        <x:f>IF($A6="","",TRUE)</x:f>
      </x:c>
    </x:row>
    <x:row r="7">
      <x:c r="A7" s="53"/>
      <x:c r="B7" s="67"/>
      <x:c r="C7" s="67"/>
      <x:c r="D7" s="74"/>
      <x:c r="E7" s="74"/>
      <x:c r="F7" s="74"/>
      <x:c r="G7" s="75"/>
      <x:c r="H7" s="75"/>
      <x:c r="I7" s="53"/>
      <x:c r="J7" s="53"/>
      <x:c r="K7" s="76" t="str">
        <x:f>IF($A7="","",TRUE)</x:f>
      </x:c>
    </x:row>
    <x:row r="8">
      <x:c r="A8" s="53"/>
      <x:c r="B8" s="67"/>
      <x:c r="C8" s="67"/>
      <x:c r="D8" s="74"/>
      <x:c r="E8" s="74"/>
      <x:c r="F8" s="74"/>
      <x:c r="G8" s="75"/>
      <x:c r="H8" s="75"/>
      <x:c r="I8" s="53"/>
      <x:c r="J8" s="53"/>
      <x:c r="K8" s="76" t="str">
        <x:f>IF($A8="","",TRUE)</x:f>
      </x:c>
    </x:row>
    <x:row r="9">
      <x:c r="A9" s="53"/>
      <x:c r="B9" s="67"/>
      <x:c r="C9" s="67"/>
      <x:c r="D9" s="74"/>
      <x:c r="E9" s="74"/>
      <x:c r="F9" s="74"/>
      <x:c r="G9" s="75"/>
      <x:c r="H9" s="75"/>
      <x:c r="I9" s="53"/>
      <x:c r="J9" s="53"/>
      <x:c r="K9" s="76" t="str">
        <x:f>IF($A9="","",TRUE)</x:f>
      </x:c>
    </x:row>
    <x:row r="10">
      <x:c r="A10" s="53"/>
      <x:c r="B10" s="67"/>
      <x:c r="C10" s="67"/>
      <x:c r="D10" s="74"/>
      <x:c r="E10" s="74"/>
      <x:c r="F10" s="74"/>
      <x:c r="G10" s="75"/>
      <x:c r="H10" s="75"/>
      <x:c r="I10" s="53"/>
      <x:c r="J10" s="53"/>
      <x:c r="K10" s="76" t="str">
        <x:f>IF($A10="","",TRUE)</x:f>
      </x:c>
    </x:row>
    <x:row r="11">
      <x:c r="A11" s="53"/>
      <x:c r="B11" s="67"/>
      <x:c r="C11" s="67"/>
      <x:c r="D11" s="74"/>
      <x:c r="E11" s="74"/>
      <x:c r="F11" s="74"/>
      <x:c r="G11" s="75"/>
      <x:c r="H11" s="75"/>
      <x:c r="I11" s="53"/>
      <x:c r="J11" s="53"/>
      <x:c r="K11" s="76" t="str">
        <x:f>IF($A11="","",TRUE)</x:f>
      </x:c>
    </x:row>
    <x:row r="12">
      <x:c r="A12" s="53"/>
      <x:c r="B12" s="67"/>
      <x:c r="C12" s="67"/>
      <x:c r="D12" s="74"/>
      <x:c r="E12" s="74"/>
      <x:c r="F12" s="74"/>
      <x:c r="G12" s="75"/>
      <x:c r="H12" s="75"/>
      <x:c r="I12" s="53"/>
      <x:c r="J12" s="53"/>
      <x:c r="K12" s="76" t="str">
        <x:f>IF($A12="","",TRUE)</x:f>
      </x:c>
    </x:row>
    <x:row r="13">
      <x:c r="A13" s="53"/>
      <x:c r="B13" s="67"/>
      <x:c r="C13" s="67"/>
      <x:c r="D13" s="74"/>
      <x:c r="E13" s="74"/>
      <x:c r="F13" s="74"/>
      <x:c r="G13" s="75"/>
      <x:c r="H13" s="75"/>
      <x:c r="I13" s="53"/>
      <x:c r="J13" s="53"/>
      <x:c r="K13" s="76" t="str">
        <x:f>IF($A13="","",TRUE)</x:f>
      </x:c>
    </x:row>
    <x:row r="14">
      <x:c r="A14" s="53"/>
      <x:c r="B14" s="67"/>
      <x:c r="C14" s="67"/>
      <x:c r="D14" s="74"/>
      <x:c r="E14" s="74"/>
      <x:c r="F14" s="74"/>
      <x:c r="G14" s="75"/>
      <x:c r="H14" s="75"/>
      <x:c r="I14" s="53"/>
      <x:c r="J14" s="53"/>
      <x:c r="K14" s="76" t="str">
        <x:f>IF($A14="","",TRUE)</x:f>
      </x:c>
    </x:row>
    <x:row r="15">
      <x:c r="A15" s="8"/>
      <x:c r="B15" s="68"/>
      <x:c r="C15" s="68"/>
      <x:c r="D15" s="72"/>
      <x:c r="E15" s="72"/>
      <x:c r="F15" s="72"/>
      <x:c r="G15" s="73"/>
      <x:c r="H15" s="73"/>
      <x:c r="I15" s="8"/>
      <x:c r="J15" s="8"/>
      <x:c r="K15" s="71" t="str">
        <x:f>IF($A15="","",TRUE)</x:f>
      </x:c>
    </x:row>
    <x:row r="16">
      <x:c r="A16" s="8"/>
      <x:c r="B16" s="68"/>
      <x:c r="C16" s="68"/>
      <x:c r="D16" s="72"/>
      <x:c r="E16" s="72"/>
      <x:c r="F16" s="72"/>
      <x:c r="G16" s="73"/>
      <x:c r="H16" s="73"/>
      <x:c r="I16" s="8"/>
      <x:c r="J16" s="8"/>
      <x:c r="K16" s="71" t="str">
        <x:f>IF($A16="","",TRUE)</x:f>
      </x:c>
    </x:row>
    <x:row r="17">
      <x:c r="A17" s="83" t="str">
        <x:v>Reference: https://dora.dev/guides/dora-metrics/ — current five-metric model; apply at application or service level.</x:v>
      </x:c>
      <x:c r="B17" s="84"/>
      <x:c r="C17" s="84"/>
      <x:c r="D17" s="85"/>
      <x:c r="E17" s="85"/>
      <x:c r="F17" s="85"/>
      <x:c r="G17" s="86"/>
      <x:c r="H17" s="86"/>
      <x:c r="I17" s="83"/>
      <x:c r="J17" s="83"/>
      <x:c r="K17" s="83" t="b">
        <x:f>IF($A17="","",TRUE)</x:f>
        <x:v>1</x:v>
      </x:c>
    </x:row>
    <x:row r="18">
      <x:c r="A18" s="8"/>
      <x:c r="B18" s="68"/>
      <x:c r="C18" s="68"/>
      <x:c r="D18" s="72"/>
      <x:c r="E18" s="72"/>
      <x:c r="F18" s="72"/>
      <x:c r="G18" s="73"/>
      <x:c r="H18" s="73"/>
      <x:c r="I18" s="8"/>
      <x:c r="J18" s="8"/>
      <x:c r="K18" s="71" t="str">
        <x:f>IF($A18="","",TRUE)</x:f>
      </x:c>
    </x:row>
    <x:row r="19">
      <x:c r="A19" s="8"/>
      <x:c r="B19" s="68"/>
      <x:c r="C19" s="68"/>
      <x:c r="D19" s="72"/>
      <x:c r="E19" s="72"/>
      <x:c r="F19" s="72"/>
      <x:c r="G19" s="73"/>
      <x:c r="H19" s="73"/>
      <x:c r="I19" s="8"/>
      <x:c r="J19" s="8"/>
      <x:c r="K19" s="71" t="str">
        <x:f>IF($A19="","",TRUE)</x:f>
      </x:c>
    </x:row>
    <x:row r="20">
      <x:c r="A20" s="8"/>
      <x:c r="B20" s="68"/>
      <x:c r="C20" s="68"/>
      <x:c r="D20" s="72"/>
      <x:c r="E20" s="72"/>
      <x:c r="F20" s="72"/>
      <x:c r="G20" s="73"/>
      <x:c r="H20" s="73"/>
      <x:c r="I20" s="8"/>
      <x:c r="J20" s="8"/>
      <x:c r="K20" s="71" t="str">
        <x:f>IF($A20="","",TRUE)</x:f>
      </x:c>
    </x:row>
    <x:row r="21">
      <x:c r="A21" s="8"/>
      <x:c r="B21" s="68"/>
      <x:c r="C21" s="68"/>
      <x:c r="D21" s="72"/>
      <x:c r="E21" s="72"/>
      <x:c r="F21" s="72"/>
      <x:c r="G21" s="73"/>
      <x:c r="H21" s="73"/>
      <x:c r="I21" s="8"/>
      <x:c r="J21" s="8"/>
      <x:c r="K21" s="71" t="str">
        <x:f>IF($A21="","",TRUE)</x:f>
      </x:c>
    </x:row>
    <x:row r="22">
      <x:c r="A22" s="8"/>
      <x:c r="B22" s="68"/>
      <x:c r="C22" s="68"/>
      <x:c r="D22" s="72"/>
      <x:c r="E22" s="72"/>
      <x:c r="F22" s="72"/>
      <x:c r="G22" s="73"/>
      <x:c r="H22" s="73"/>
      <x:c r="I22" s="8"/>
      <x:c r="J22" s="8"/>
      <x:c r="K22" s="71" t="str">
        <x:f>IF($A22="","",TRUE)</x:f>
      </x:c>
    </x:row>
    <x:row r="23">
      <x:c r="A23" s="8"/>
      <x:c r="B23" s="68"/>
      <x:c r="C23" s="68"/>
      <x:c r="D23" s="72"/>
      <x:c r="E23" s="72"/>
      <x:c r="F23" s="72"/>
      <x:c r="G23" s="73"/>
      <x:c r="H23" s="73"/>
      <x:c r="I23" s="8"/>
      <x:c r="J23" s="8"/>
      <x:c r="K23" s="71" t="str">
        <x:f>IF($A23="","",TRUE)</x:f>
      </x:c>
    </x:row>
    <x:row r="24">
      <x:c r="A24" s="8"/>
      <x:c r="B24" s="68"/>
      <x:c r="C24" s="68"/>
      <x:c r="D24" s="72"/>
      <x:c r="E24" s="72"/>
      <x:c r="F24" s="72"/>
      <x:c r="G24" s="73"/>
      <x:c r="H24" s="73"/>
      <x:c r="I24" s="8"/>
      <x:c r="J24" s="8"/>
      <x:c r="K24" s="71" t="str">
        <x:f>IF($A24="","",TRUE)</x:f>
      </x:c>
    </x:row>
    <x:row r="25">
      <x:c r="A25" s="8"/>
      <x:c r="B25" s="68"/>
      <x:c r="C25" s="68"/>
      <x:c r="D25" s="72"/>
      <x:c r="E25" s="72"/>
      <x:c r="F25" s="72"/>
      <x:c r="G25" s="73"/>
      <x:c r="H25" s="73"/>
      <x:c r="I25" s="8"/>
      <x:c r="J25" s="8"/>
      <x:c r="K25" s="71" t="str">
        <x:f>IF($A25="","",TRUE)</x:f>
      </x:c>
    </x:row>
    <x:row r="26">
      <x:c r="A26" s="8"/>
      <x:c r="B26" s="68"/>
      <x:c r="C26" s="68"/>
      <x:c r="D26" s="72"/>
      <x:c r="E26" s="72"/>
      <x:c r="F26" s="72"/>
      <x:c r="G26" s="73"/>
      <x:c r="H26" s="73"/>
      <x:c r="I26" s="8"/>
      <x:c r="J26" s="8"/>
      <x:c r="K26" s="71" t="str">
        <x:f>IF($A26="","",TRUE)</x:f>
      </x:c>
    </x:row>
    <x:row r="27">
      <x:c r="A27" s="8"/>
      <x:c r="B27" s="68"/>
      <x:c r="C27" s="68"/>
      <x:c r="D27" s="72"/>
      <x:c r="E27" s="72"/>
      <x:c r="F27" s="72"/>
      <x:c r="G27" s="73"/>
      <x:c r="H27" s="73"/>
      <x:c r="I27" s="8"/>
      <x:c r="J27" s="8"/>
      <x:c r="K27" s="71" t="str">
        <x:f>IF($A27="","",TRUE)</x:f>
      </x:c>
    </x:row>
    <x:row r="28">
      <x:c r="A28" s="8"/>
      <x:c r="B28" s="68"/>
      <x:c r="C28" s="68"/>
      <x:c r="D28" s="72"/>
      <x:c r="E28" s="72"/>
      <x:c r="F28" s="72"/>
      <x:c r="G28" s="73"/>
      <x:c r="H28" s="73"/>
      <x:c r="I28" s="8"/>
      <x:c r="J28" s="8"/>
      <x:c r="K28" s="71" t="str">
        <x:f>IF($A28="","",TRUE)</x:f>
      </x:c>
    </x:row>
    <x:row r="29">
      <x:c r="A29" s="8"/>
      <x:c r="B29" s="68"/>
      <x:c r="C29" s="68"/>
      <x:c r="D29" s="72"/>
      <x:c r="E29" s="72"/>
      <x:c r="F29" s="72"/>
      <x:c r="G29" s="73"/>
      <x:c r="H29" s="73"/>
      <x:c r="I29" s="8"/>
      <x:c r="J29" s="8"/>
      <x:c r="K29" s="71" t="str">
        <x:f>IF($A29="","",TRUE)</x:f>
      </x:c>
    </x:row>
    <x:row r="30">
      <x:c r="A30" s="8"/>
      <x:c r="B30" s="68"/>
      <x:c r="C30" s="68"/>
      <x:c r="D30" s="72"/>
      <x:c r="E30" s="72"/>
      <x:c r="F30" s="72"/>
      <x:c r="G30" s="73"/>
      <x:c r="H30" s="73"/>
      <x:c r="I30" s="8"/>
      <x:c r="J30" s="8"/>
      <x:c r="K30" s="71" t="str">
        <x:f>IF($A30="","",TRUE)</x:f>
      </x:c>
    </x:row>
    <x:row r="31">
      <x:c r="A31" s="8"/>
      <x:c r="B31" s="68"/>
      <x:c r="C31" s="68"/>
      <x:c r="D31" s="72"/>
      <x:c r="E31" s="72"/>
      <x:c r="F31" s="72"/>
      <x:c r="G31" s="73"/>
      <x:c r="H31" s="73"/>
      <x:c r="I31" s="8"/>
      <x:c r="J31" s="8"/>
      <x:c r="K31" s="71" t="str">
        <x:f>IF($A31="","",TRUE)</x:f>
      </x:c>
    </x:row>
    <x:row r="32">
      <x:c r="A32" s="8"/>
      <x:c r="B32" s="68"/>
      <x:c r="C32" s="68"/>
      <x:c r="D32" s="72"/>
      <x:c r="E32" s="72"/>
      <x:c r="F32" s="72"/>
      <x:c r="G32" s="73"/>
      <x:c r="H32" s="73"/>
      <x:c r="I32" s="8"/>
      <x:c r="J32" s="8"/>
      <x:c r="K32" s="71" t="str">
        <x:f>IF($A32="","",TRUE)</x:f>
      </x:c>
    </x:row>
    <x:row r="33">
      <x:c r="A33" s="8"/>
      <x:c r="B33" s="68"/>
      <x:c r="C33" s="68"/>
      <x:c r="D33" s="72"/>
      <x:c r="E33" s="72"/>
      <x:c r="F33" s="72"/>
      <x:c r="G33" s="73"/>
      <x:c r="H33" s="73"/>
      <x:c r="I33" s="8"/>
      <x:c r="J33" s="8"/>
      <x:c r="K33" s="71" t="str">
        <x:f>IF($A33="","",TRUE)</x:f>
      </x:c>
    </x:row>
    <x:row r="34">
      <x:c r="A34" s="8"/>
      <x:c r="B34" s="68"/>
      <x:c r="C34" s="68"/>
      <x:c r="D34" s="72"/>
      <x:c r="E34" s="72"/>
      <x:c r="F34" s="72"/>
      <x:c r="G34" s="73"/>
      <x:c r="H34" s="73"/>
      <x:c r="I34" s="8"/>
      <x:c r="J34" s="8"/>
      <x:c r="K34" s="71" t="str">
        <x:f>IF($A34="","",TRUE)</x:f>
      </x:c>
    </x:row>
    <x:row r="35">
      <x:c r="A35" s="8"/>
      <x:c r="B35" s="68"/>
      <x:c r="C35" s="68"/>
      <x:c r="D35" s="72"/>
      <x:c r="E35" s="72"/>
      <x:c r="F35" s="72"/>
      <x:c r="G35" s="73"/>
      <x:c r="H35" s="73"/>
      <x:c r="I35" s="8"/>
      <x:c r="J35" s="8"/>
      <x:c r="K35" s="71" t="str">
        <x:f>IF($A35="","",TRUE)</x:f>
      </x:c>
    </x:row>
    <x:row r="36">
      <x:c r="A36" s="8"/>
      <x:c r="B36" s="68"/>
      <x:c r="C36" s="68"/>
      <x:c r="D36" s="72"/>
      <x:c r="E36" s="72"/>
      <x:c r="F36" s="72"/>
      <x:c r="G36" s="73"/>
      <x:c r="H36" s="73"/>
      <x:c r="I36" s="8"/>
      <x:c r="J36" s="8"/>
      <x:c r="K36" s="71" t="str">
        <x:f>IF($A36="","",TRUE)</x:f>
      </x:c>
    </x:row>
    <x:row r="37">
      <x:c r="A37" s="8"/>
      <x:c r="B37" s="68"/>
      <x:c r="C37" s="68"/>
      <x:c r="D37" s="72"/>
      <x:c r="E37" s="72"/>
      <x:c r="F37" s="72"/>
      <x:c r="G37" s="73"/>
      <x:c r="H37" s="73"/>
      <x:c r="I37" s="8"/>
      <x:c r="J37" s="8"/>
      <x:c r="K37" s="71" t="str">
        <x:f>IF($A37="","",TRUE)</x:f>
      </x:c>
    </x:row>
    <x:row r="38">
      <x:c r="A38" s="8"/>
      <x:c r="B38" s="68"/>
      <x:c r="C38" s="68"/>
      <x:c r="D38" s="72"/>
      <x:c r="E38" s="72"/>
      <x:c r="F38" s="72"/>
      <x:c r="G38" s="73"/>
      <x:c r="H38" s="73"/>
      <x:c r="I38" s="8"/>
      <x:c r="J38" s="8"/>
      <x:c r="K38" s="71" t="str">
        <x:f>IF($A38="","",TRUE)</x:f>
      </x:c>
    </x:row>
    <x:row r="39">
      <x:c r="A39" s="8"/>
      <x:c r="B39" s="68"/>
      <x:c r="C39" s="68"/>
      <x:c r="D39" s="72"/>
      <x:c r="E39" s="72"/>
      <x:c r="F39" s="72"/>
      <x:c r="G39" s="73"/>
      <x:c r="H39" s="73"/>
      <x:c r="I39" s="8"/>
      <x:c r="J39" s="8"/>
      <x:c r="K39" s="71" t="str">
        <x:f>IF($A39="","",TRUE)</x:f>
      </x:c>
    </x:row>
    <x:row r="40">
      <x:c r="A40" s="8"/>
      <x:c r="B40" s="68"/>
      <x:c r="C40" s="68"/>
      <x:c r="D40" s="72"/>
      <x:c r="E40" s="72"/>
      <x:c r="F40" s="72"/>
      <x:c r="G40" s="73"/>
      <x:c r="H40" s="73"/>
      <x:c r="I40" s="8"/>
      <x:c r="J40" s="8"/>
      <x:c r="K40" s="71" t="str">
        <x:f>IF($A40="","",TRUE)</x:f>
      </x:c>
    </x:row>
    <x:row r="41">
      <x:c r="A41" s="8"/>
      <x:c r="B41" s="68"/>
      <x:c r="C41" s="68"/>
      <x:c r="D41" s="72"/>
      <x:c r="E41" s="72"/>
      <x:c r="F41" s="72"/>
      <x:c r="G41" s="73"/>
      <x:c r="H41" s="73"/>
      <x:c r="I41" s="8"/>
      <x:c r="J41" s="8"/>
      <x:c r="K41" s="71" t="str">
        <x:f>IF($A41="","",TRUE)</x:f>
      </x:c>
    </x:row>
    <x:row r="42">
      <x:c r="A42" s="8"/>
      <x:c r="B42" s="68"/>
      <x:c r="C42" s="68"/>
      <x:c r="D42" s="72"/>
      <x:c r="E42" s="72"/>
      <x:c r="F42" s="72"/>
      <x:c r="G42" s="73"/>
      <x:c r="H42" s="73"/>
      <x:c r="I42" s="8"/>
      <x:c r="J42" s="8"/>
      <x:c r="K42" s="71" t="str">
        <x:f>IF($A42="","",TRUE)</x:f>
      </x:c>
    </x:row>
    <x:row r="43">
      <x:c r="A43" s="8"/>
      <x:c r="B43" s="68"/>
      <x:c r="C43" s="68"/>
      <x:c r="D43" s="72"/>
      <x:c r="E43" s="72"/>
      <x:c r="F43" s="72"/>
      <x:c r="G43" s="73"/>
      <x:c r="H43" s="73"/>
      <x:c r="I43" s="8"/>
      <x:c r="J43" s="8"/>
      <x:c r="K43" s="71" t="str">
        <x:f>IF($A43="","",TRUE)</x:f>
      </x:c>
    </x:row>
    <x:row r="44">
      <x:c r="A44" s="8"/>
      <x:c r="B44" s="68"/>
      <x:c r="C44" s="68"/>
      <x:c r="D44" s="72"/>
      <x:c r="E44" s="72"/>
      <x:c r="F44" s="72"/>
      <x:c r="G44" s="73"/>
      <x:c r="H44" s="73"/>
      <x:c r="I44" s="8"/>
      <x:c r="J44" s="8"/>
      <x:c r="K44" s="71" t="str">
        <x:f>IF($A44="","",TRUE)</x:f>
      </x:c>
    </x:row>
    <x:row r="45">
      <x:c r="A45" s="8"/>
      <x:c r="B45" s="68"/>
      <x:c r="C45" s="68"/>
      <x:c r="D45" s="72"/>
      <x:c r="E45" s="72"/>
      <x:c r="F45" s="72"/>
      <x:c r="G45" s="73"/>
      <x:c r="H45" s="73"/>
      <x:c r="I45" s="8"/>
      <x:c r="J45" s="8"/>
      <x:c r="K45" s="71" t="str">
        <x:f>IF($A45="","",TRUE)</x:f>
      </x:c>
    </x:row>
    <x:row r="46">
      <x:c r="A46" s="8"/>
      <x:c r="B46" s="68"/>
      <x:c r="C46" s="68"/>
      <x:c r="D46" s="72"/>
      <x:c r="E46" s="72"/>
      <x:c r="F46" s="72"/>
      <x:c r="G46" s="73"/>
      <x:c r="H46" s="73"/>
      <x:c r="I46" s="8"/>
      <x:c r="J46" s="8"/>
      <x:c r="K46" s="71" t="str">
        <x:f>IF($A46="","",TRUE)</x:f>
      </x:c>
    </x:row>
    <x:row r="47">
      <x:c r="A47" s="8"/>
      <x:c r="B47" s="68"/>
      <x:c r="C47" s="68"/>
      <x:c r="D47" s="72"/>
      <x:c r="E47" s="72"/>
      <x:c r="F47" s="72"/>
      <x:c r="G47" s="73"/>
      <x:c r="H47" s="73"/>
      <x:c r="I47" s="8"/>
      <x:c r="J47" s="8"/>
      <x:c r="K47" s="71" t="str">
        <x:f>IF($A47="","",TRUE)</x:f>
      </x:c>
    </x:row>
    <x:row r="48">
      <x:c r="A48" s="8"/>
      <x:c r="B48" s="68"/>
      <x:c r="C48" s="68"/>
      <x:c r="D48" s="72"/>
      <x:c r="E48" s="72"/>
      <x:c r="F48" s="72"/>
      <x:c r="G48" s="73"/>
      <x:c r="H48" s="73"/>
      <x:c r="I48" s="8"/>
      <x:c r="J48" s="8"/>
      <x:c r="K48" s="71" t="str">
        <x:f>IF($A48="","",TRUE)</x:f>
      </x:c>
    </x:row>
    <x:row r="49">
      <x:c r="A49" s="8"/>
      <x:c r="B49" s="68"/>
      <x:c r="C49" s="68"/>
      <x:c r="D49" s="72"/>
      <x:c r="E49" s="72"/>
      <x:c r="F49" s="72"/>
      <x:c r="G49" s="73"/>
      <x:c r="H49" s="73"/>
      <x:c r="I49" s="8"/>
      <x:c r="J49" s="8"/>
      <x:c r="K49" s="71" t="str">
        <x:f>IF($A49="","",TRUE)</x:f>
      </x:c>
    </x:row>
    <x:row r="50">
      <x:c r="A50" s="8"/>
      <x:c r="B50" s="68"/>
      <x:c r="C50" s="68"/>
      <x:c r="D50" s="72"/>
      <x:c r="E50" s="72"/>
      <x:c r="F50" s="72"/>
      <x:c r="G50" s="73"/>
      <x:c r="H50" s="73"/>
      <x:c r="I50" s="8"/>
      <x:c r="J50" s="8"/>
      <x:c r="K50" s="71" t="str">
        <x:f>IF($A50="","",TRUE)</x:f>
      </x:c>
    </x:row>
    <x:row r="51">
      <x:c r="A51" s="8"/>
      <x:c r="B51" s="68"/>
      <x:c r="C51" s="68"/>
      <x:c r="D51" s="72"/>
      <x:c r="E51" s="72"/>
      <x:c r="F51" s="72"/>
      <x:c r="G51" s="73"/>
      <x:c r="H51" s="73"/>
      <x:c r="I51" s="8"/>
      <x:c r="J51" s="8"/>
      <x:c r="K51" s="71" t="str">
        <x:f>IF($A51="","",TRUE)</x:f>
      </x:c>
    </x:row>
    <x:row r="52">
      <x:c r="A52" s="8"/>
      <x:c r="B52" s="68"/>
      <x:c r="C52" s="68"/>
      <x:c r="D52" s="72"/>
      <x:c r="E52" s="72"/>
      <x:c r="F52" s="72"/>
      <x:c r="G52" s="73"/>
      <x:c r="H52" s="73"/>
      <x:c r="I52" s="8"/>
      <x:c r="J52" s="8"/>
      <x:c r="K52" s="71" t="str">
        <x:f>IF($A52="","",TRUE)</x:f>
      </x:c>
    </x:row>
    <x:row r="53">
      <x:c r="A53" s="8"/>
      <x:c r="B53" s="68"/>
      <x:c r="C53" s="68"/>
      <x:c r="D53" s="72"/>
      <x:c r="E53" s="72"/>
      <x:c r="F53" s="72"/>
      <x:c r="G53" s="73"/>
      <x:c r="H53" s="73"/>
      <x:c r="I53" s="8"/>
      <x:c r="J53" s="8"/>
      <x:c r="K53" s="71" t="str">
        <x:f>IF($A53="","",TRUE)</x:f>
      </x:c>
    </x:row>
    <x:row r="54">
      <x:c r="A54" s="8"/>
      <x:c r="B54" s="68"/>
      <x:c r="C54" s="68"/>
      <x:c r="D54" s="72"/>
      <x:c r="E54" s="72"/>
      <x:c r="F54" s="72"/>
      <x:c r="G54" s="73"/>
      <x:c r="H54" s="73"/>
      <x:c r="I54" s="8"/>
      <x:c r="J54" s="8"/>
      <x:c r="K54" s="71" t="str">
        <x:f>IF($A54="","",TRUE)</x:f>
      </x:c>
    </x:row>
    <x:row r="55">
      <x:c r="A55" s="8"/>
      <x:c r="B55" s="68"/>
      <x:c r="C55" s="68"/>
      <x:c r="D55" s="72"/>
      <x:c r="E55" s="72"/>
      <x:c r="F55" s="72"/>
      <x:c r="G55" s="73"/>
      <x:c r="H55" s="73"/>
      <x:c r="I55" s="8"/>
      <x:c r="J55" s="8"/>
      <x:c r="K55" s="71" t="str">
        <x:f>IF($A55="","",TRUE)</x:f>
      </x:c>
    </x:row>
    <x:row r="56">
      <x:c r="A56" s="8"/>
      <x:c r="B56" s="68"/>
      <x:c r="C56" s="68"/>
      <x:c r="D56" s="72"/>
      <x:c r="E56" s="72"/>
      <x:c r="F56" s="72"/>
      <x:c r="G56" s="73"/>
      <x:c r="H56" s="73"/>
      <x:c r="I56" s="8"/>
      <x:c r="J56" s="8"/>
      <x:c r="K56" s="71" t="str">
        <x:f>IF($A56="","",TRUE)</x:f>
      </x:c>
    </x:row>
    <x:row r="57">
      <x:c r="A57" s="8"/>
      <x:c r="B57" s="68"/>
      <x:c r="C57" s="68"/>
      <x:c r="D57" s="72"/>
      <x:c r="E57" s="72"/>
      <x:c r="F57" s="72"/>
      <x:c r="G57" s="73"/>
      <x:c r="H57" s="73"/>
      <x:c r="I57" s="8"/>
      <x:c r="J57" s="8"/>
      <x:c r="K57" s="71" t="str">
        <x:f>IF($A57="","",TRUE)</x:f>
      </x:c>
    </x:row>
    <x:row r="58">
      <x:c r="A58" s="8"/>
      <x:c r="B58" s="68"/>
      <x:c r="C58" s="68"/>
      <x:c r="D58" s="72"/>
      <x:c r="E58" s="72"/>
      <x:c r="F58" s="72"/>
      <x:c r="G58" s="73"/>
      <x:c r="H58" s="73"/>
      <x:c r="I58" s="8"/>
      <x:c r="J58" s="8"/>
      <x:c r="K58" s="71" t="str">
        <x:f>IF($A58="","",TRUE)</x:f>
      </x:c>
    </x:row>
    <x:row r="59">
      <x:c r="A59" s="8"/>
      <x:c r="B59" s="68"/>
      <x:c r="C59" s="68"/>
      <x:c r="D59" s="72"/>
      <x:c r="E59" s="72"/>
      <x:c r="F59" s="72"/>
      <x:c r="G59" s="73"/>
      <x:c r="H59" s="73"/>
      <x:c r="I59" s="8"/>
      <x:c r="J59" s="8"/>
      <x:c r="K59" s="71" t="str">
        <x:f>IF($A59="","",TRUE)</x:f>
      </x:c>
    </x:row>
    <x:row r="60">
      <x:c r="A60" s="8"/>
      <x:c r="B60" s="68"/>
      <x:c r="C60" s="68"/>
      <x:c r="D60" s="72"/>
      <x:c r="E60" s="72"/>
      <x:c r="F60" s="72"/>
      <x:c r="G60" s="73"/>
      <x:c r="H60" s="73"/>
      <x:c r="I60" s="8"/>
      <x:c r="J60" s="8"/>
      <x:c r="K60" s="71" t="str">
        <x:f>IF($A60="","",TRUE)</x:f>
      </x:c>
    </x:row>
    <x:row r="61">
      <x:c r="A61" s="8"/>
      <x:c r="B61" s="68"/>
      <x:c r="C61" s="68"/>
      <x:c r="D61" s="72"/>
      <x:c r="E61" s="72"/>
      <x:c r="F61" s="72"/>
      <x:c r="G61" s="73"/>
      <x:c r="H61" s="73"/>
      <x:c r="I61" s="8"/>
      <x:c r="J61" s="8"/>
      <x:c r="K61" s="71" t="str">
        <x:f>IF($A61="","",TRUE)</x:f>
      </x:c>
    </x:row>
    <x:row r="62">
      <x:c r="A62" s="8"/>
      <x:c r="B62" s="68"/>
      <x:c r="C62" s="68"/>
      <x:c r="D62" s="72"/>
      <x:c r="E62" s="72"/>
      <x:c r="F62" s="72"/>
      <x:c r="G62" s="73"/>
      <x:c r="H62" s="73"/>
      <x:c r="I62" s="8"/>
      <x:c r="J62" s="8"/>
      <x:c r="K62" s="71" t="str">
        <x:f>IF($A62="","",TRUE)</x:f>
      </x:c>
    </x:row>
    <x:row r="63">
      <x:c r="A63" s="8"/>
      <x:c r="B63" s="68"/>
      <x:c r="C63" s="68"/>
      <x:c r="D63" s="72"/>
      <x:c r="E63" s="72"/>
      <x:c r="F63" s="72"/>
      <x:c r="G63" s="73"/>
      <x:c r="H63" s="73"/>
      <x:c r="I63" s="8"/>
      <x:c r="J63" s="8"/>
      <x:c r="K63" s="71" t="str">
        <x:f>IF($A63="","",TRUE)</x:f>
      </x:c>
    </x:row>
    <x:row r="64">
      <x:c r="A64" s="8"/>
      <x:c r="B64" s="68"/>
      <x:c r="C64" s="68"/>
      <x:c r="D64" s="72"/>
      <x:c r="E64" s="72"/>
      <x:c r="F64" s="72"/>
      <x:c r="G64" s="73"/>
      <x:c r="H64" s="73"/>
      <x:c r="I64" s="8"/>
      <x:c r="J64" s="8"/>
      <x:c r="K64" s="71" t="str">
        <x:f>IF($A64="","",TRUE)</x:f>
      </x:c>
    </x:row>
    <x:row r="65">
      <x:c r="A65" s="8"/>
      <x:c r="B65" s="68"/>
      <x:c r="C65" s="68"/>
      <x:c r="D65" s="72"/>
      <x:c r="E65" s="72"/>
      <x:c r="F65" s="72"/>
      <x:c r="G65" s="73"/>
      <x:c r="H65" s="73"/>
      <x:c r="I65" s="8"/>
      <x:c r="J65" s="8"/>
      <x:c r="K65" s="71" t="str">
        <x:f>IF($A65="","",TRUE)</x:f>
      </x:c>
    </x:row>
    <x:row r="66">
      <x:c r="A66" s="8"/>
      <x:c r="B66" s="68"/>
      <x:c r="C66" s="68"/>
      <x:c r="D66" s="72"/>
      <x:c r="E66" s="72"/>
      <x:c r="F66" s="72"/>
      <x:c r="G66" s="73"/>
      <x:c r="H66" s="73"/>
      <x:c r="I66" s="8"/>
      <x:c r="J66" s="8"/>
      <x:c r="K66" s="71" t="str">
        <x:f>IF($A66="","",TRUE)</x:f>
      </x:c>
    </x:row>
    <x:row r="67">
      <x:c r="A67" s="8"/>
      <x:c r="B67" s="68"/>
      <x:c r="C67" s="68"/>
      <x:c r="D67" s="72"/>
      <x:c r="E67" s="72"/>
      <x:c r="F67" s="72"/>
      <x:c r="G67" s="73"/>
      <x:c r="H67" s="73"/>
      <x:c r="I67" s="8"/>
      <x:c r="J67" s="8"/>
      <x:c r="K67" s="71" t="str">
        <x:f>IF($A67="","",TRUE)</x:f>
      </x:c>
    </x:row>
    <x:row r="68">
      <x:c r="A68" s="8"/>
      <x:c r="B68" s="68"/>
      <x:c r="C68" s="68"/>
      <x:c r="D68" s="72"/>
      <x:c r="E68" s="72"/>
      <x:c r="F68" s="72"/>
      <x:c r="G68" s="73"/>
      <x:c r="H68" s="73"/>
      <x:c r="I68" s="8"/>
      <x:c r="J68" s="8"/>
      <x:c r="K68" s="71" t="str">
        <x:f>IF($A68="","",TRUE)</x:f>
      </x:c>
    </x:row>
    <x:row r="69">
      <x:c r="A69" s="8"/>
      <x:c r="B69" s="68"/>
      <x:c r="C69" s="68"/>
      <x:c r="D69" s="72"/>
      <x:c r="E69" s="72"/>
      <x:c r="F69" s="72"/>
      <x:c r="G69" s="73"/>
      <x:c r="H69" s="73"/>
      <x:c r="I69" s="8"/>
      <x:c r="J69" s="8"/>
      <x:c r="K69" s="71" t="str">
        <x:f>IF($A69="","",TRUE)</x:f>
      </x:c>
    </x:row>
    <x:row r="70">
      <x:c r="A70" s="8"/>
      <x:c r="B70" s="68"/>
      <x:c r="C70" s="68"/>
      <x:c r="D70" s="72"/>
      <x:c r="E70" s="72"/>
      <x:c r="F70" s="72"/>
      <x:c r="G70" s="73"/>
      <x:c r="H70" s="73"/>
      <x:c r="I70" s="8"/>
      <x:c r="J70" s="8"/>
      <x:c r="K70" s="71" t="str">
        <x:f>IF($A70="","",TRUE)</x:f>
      </x:c>
    </x:row>
    <x:row r="71">
      <x:c r="A71" s="8"/>
      <x:c r="B71" s="68"/>
      <x:c r="C71" s="68"/>
      <x:c r="D71" s="72"/>
      <x:c r="E71" s="72"/>
      <x:c r="F71" s="72"/>
      <x:c r="G71" s="73"/>
      <x:c r="H71" s="73"/>
      <x:c r="I71" s="8"/>
      <x:c r="J71" s="8"/>
      <x:c r="K71" s="71" t="str">
        <x:f>IF($A71="","",TRUE)</x:f>
      </x:c>
    </x:row>
    <x:row r="72">
      <x:c r="A72" s="8"/>
      <x:c r="B72" s="68"/>
      <x:c r="C72" s="68"/>
      <x:c r="D72" s="72"/>
      <x:c r="E72" s="72"/>
      <x:c r="F72" s="72"/>
      <x:c r="G72" s="73"/>
      <x:c r="H72" s="73"/>
      <x:c r="I72" s="8"/>
      <x:c r="J72" s="8"/>
      <x:c r="K72" s="71" t="str">
        <x:f>IF($A72="","",TRUE)</x:f>
      </x:c>
    </x:row>
    <x:row r="73">
      <x:c r="A73" s="8"/>
      <x:c r="B73" s="68"/>
      <x:c r="C73" s="68"/>
      <x:c r="D73" s="72"/>
      <x:c r="E73" s="72"/>
      <x:c r="F73" s="72"/>
      <x:c r="G73" s="73"/>
      <x:c r="H73" s="73"/>
      <x:c r="I73" s="8"/>
      <x:c r="J73" s="8"/>
      <x:c r="K73" s="71" t="str">
        <x:f>IF($A73="","",TRUE)</x:f>
      </x:c>
    </x:row>
    <x:row r="74">
      <x:c r="A74" s="8"/>
      <x:c r="B74" s="68"/>
      <x:c r="C74" s="68"/>
      <x:c r="D74" s="72"/>
      <x:c r="E74" s="72"/>
      <x:c r="F74" s="72"/>
      <x:c r="G74" s="73"/>
      <x:c r="H74" s="73"/>
      <x:c r="I74" s="8"/>
      <x:c r="J74" s="8"/>
      <x:c r="K74" s="71" t="str">
        <x:f>IF($A74="","",TRUE)</x:f>
      </x:c>
    </x:row>
    <x:row r="75">
      <x:c r="A75" s="8"/>
      <x:c r="B75" s="68"/>
      <x:c r="C75" s="68"/>
      <x:c r="D75" s="72"/>
      <x:c r="E75" s="72"/>
      <x:c r="F75" s="72"/>
      <x:c r="G75" s="73"/>
      <x:c r="H75" s="73"/>
      <x:c r="I75" s="8"/>
      <x:c r="J75" s="8"/>
      <x:c r="K75" s="71" t="str">
        <x:f>IF($A75="","",TRUE)</x:f>
      </x:c>
    </x:row>
    <x:row r="76">
      <x:c r="A76" s="8"/>
      <x:c r="B76" s="68"/>
      <x:c r="C76" s="68"/>
      <x:c r="D76" s="72"/>
      <x:c r="E76" s="72"/>
      <x:c r="F76" s="72"/>
      <x:c r="G76" s="73"/>
      <x:c r="H76" s="73"/>
      <x:c r="I76" s="8"/>
      <x:c r="J76" s="8"/>
      <x:c r="K76" s="71" t="str">
        <x:f>IF($A76="","",TRUE)</x:f>
      </x:c>
    </x:row>
    <x:row r="77">
      <x:c r="A77" s="8"/>
      <x:c r="B77" s="68"/>
      <x:c r="C77" s="68"/>
      <x:c r="D77" s="72"/>
      <x:c r="E77" s="72"/>
      <x:c r="F77" s="72"/>
      <x:c r="G77" s="73"/>
      <x:c r="H77" s="73"/>
      <x:c r="I77" s="8"/>
      <x:c r="J77" s="8"/>
      <x:c r="K77" s="71" t="str">
        <x:f>IF($A77="","",TRUE)</x:f>
      </x:c>
    </x:row>
    <x:row r="78">
      <x:c r="A78" s="8"/>
      <x:c r="B78" s="68"/>
      <x:c r="C78" s="68"/>
      <x:c r="D78" s="72"/>
      <x:c r="E78" s="72"/>
      <x:c r="F78" s="72"/>
      <x:c r="G78" s="73"/>
      <x:c r="H78" s="73"/>
      <x:c r="I78" s="8"/>
      <x:c r="J78" s="8"/>
      <x:c r="K78" s="71" t="str">
        <x:f>IF($A78="","",TRUE)</x:f>
      </x:c>
    </x:row>
    <x:row r="79">
      <x:c r="A79" s="8"/>
      <x:c r="B79" s="68"/>
      <x:c r="C79" s="68"/>
      <x:c r="D79" s="72"/>
      <x:c r="E79" s="72"/>
      <x:c r="F79" s="72"/>
      <x:c r="G79" s="73"/>
      <x:c r="H79" s="73"/>
      <x:c r="I79" s="8"/>
      <x:c r="J79" s="8"/>
      <x:c r="K79" s="71" t="str">
        <x:f>IF($A79="","",TRUE)</x:f>
      </x:c>
    </x:row>
    <x:row r="80">
      <x:c r="A80" s="8"/>
      <x:c r="B80" s="68"/>
      <x:c r="C80" s="68"/>
      <x:c r="D80" s="72"/>
      <x:c r="E80" s="72"/>
      <x:c r="F80" s="72"/>
      <x:c r="G80" s="73"/>
      <x:c r="H80" s="73"/>
      <x:c r="I80" s="8"/>
      <x:c r="J80" s="8"/>
      <x:c r="K80" s="71" t="str">
        <x:f>IF($A80="","",TRUE)</x:f>
      </x:c>
    </x:row>
    <x:row r="81">
      <x:c r="A81" s="8"/>
      <x:c r="B81" s="68"/>
      <x:c r="C81" s="68"/>
      <x:c r="D81" s="72"/>
      <x:c r="E81" s="72"/>
      <x:c r="F81" s="72"/>
      <x:c r="G81" s="73"/>
      <x:c r="H81" s="73"/>
      <x:c r="I81" s="8"/>
      <x:c r="J81" s="8"/>
      <x:c r="K81" s="71" t="str">
        <x:f>IF($A81="","",TRUE)</x:f>
      </x:c>
    </x:row>
    <x:row r="82">
      <x:c r="A82" s="8"/>
      <x:c r="B82" s="68"/>
      <x:c r="C82" s="68"/>
      <x:c r="D82" s="72"/>
      <x:c r="E82" s="72"/>
      <x:c r="F82" s="72"/>
      <x:c r="G82" s="73"/>
      <x:c r="H82" s="73"/>
      <x:c r="I82" s="8"/>
      <x:c r="J82" s="8"/>
      <x:c r="K82" s="71" t="str">
        <x:f>IF($A82="","",TRUE)</x:f>
      </x:c>
    </x:row>
    <x:row r="83">
      <x:c r="A83" s="8"/>
      <x:c r="B83" s="68"/>
      <x:c r="C83" s="68"/>
      <x:c r="D83" s="72"/>
      <x:c r="E83" s="72"/>
      <x:c r="F83" s="72"/>
      <x:c r="G83" s="73"/>
      <x:c r="H83" s="73"/>
      <x:c r="I83" s="8"/>
      <x:c r="J83" s="8"/>
      <x:c r="K83" s="71" t="str">
        <x:f>IF($A83="","",TRUE)</x:f>
      </x:c>
    </x:row>
    <x:row r="84">
      <x:c r="A84" s="8"/>
      <x:c r="B84" s="68"/>
      <x:c r="C84" s="68"/>
      <x:c r="D84" s="72"/>
      <x:c r="E84" s="72"/>
      <x:c r="F84" s="72"/>
      <x:c r="G84" s="73"/>
      <x:c r="H84" s="73"/>
      <x:c r="I84" s="8"/>
      <x:c r="J84" s="8"/>
      <x:c r="K84" s="71" t="str">
        <x:f>IF($A84="","",TRUE)</x:f>
      </x:c>
    </x:row>
    <x:row r="85">
      <x:c r="A85" s="8"/>
      <x:c r="B85" s="68"/>
      <x:c r="C85" s="68"/>
      <x:c r="D85" s="72"/>
      <x:c r="E85" s="72"/>
      <x:c r="F85" s="72"/>
      <x:c r="G85" s="73"/>
      <x:c r="H85" s="73"/>
      <x:c r="I85" s="8"/>
      <x:c r="J85" s="8"/>
      <x:c r="K85" s="71" t="str">
        <x:f>IF($A85="","",TRUE)</x:f>
      </x:c>
    </x:row>
    <x:row r="86">
      <x:c r="A86" s="8"/>
      <x:c r="B86" s="68"/>
      <x:c r="C86" s="68"/>
      <x:c r="D86" s="72"/>
      <x:c r="E86" s="72"/>
      <x:c r="F86" s="72"/>
      <x:c r="G86" s="73"/>
      <x:c r="H86" s="73"/>
      <x:c r="I86" s="8"/>
      <x:c r="J86" s="8"/>
      <x:c r="K86" s="71" t="str">
        <x:f>IF($A86="","",TRUE)</x:f>
      </x:c>
    </x:row>
    <x:row r="87">
      <x:c r="A87" s="8"/>
      <x:c r="B87" s="68"/>
      <x:c r="C87" s="68"/>
      <x:c r="D87" s="72"/>
      <x:c r="E87" s="72"/>
      <x:c r="F87" s="72"/>
      <x:c r="G87" s="73"/>
      <x:c r="H87" s="73"/>
      <x:c r="I87" s="8"/>
      <x:c r="J87" s="8"/>
      <x:c r="K87" s="71" t="str">
        <x:f>IF($A87="","",TRUE)</x:f>
      </x:c>
    </x:row>
    <x:row r="88">
      <x:c r="A88" s="8"/>
      <x:c r="B88" s="68"/>
      <x:c r="C88" s="68"/>
      <x:c r="D88" s="72"/>
      <x:c r="E88" s="72"/>
      <x:c r="F88" s="72"/>
      <x:c r="G88" s="73"/>
      <x:c r="H88" s="73"/>
      <x:c r="I88" s="8"/>
      <x:c r="J88" s="8"/>
      <x:c r="K88" s="71" t="str">
        <x:f>IF($A88="","",TRUE)</x:f>
      </x:c>
    </x:row>
    <x:row r="89">
      <x:c r="A89" s="8"/>
      <x:c r="B89" s="68"/>
      <x:c r="C89" s="68"/>
      <x:c r="D89" s="72"/>
      <x:c r="E89" s="72"/>
      <x:c r="F89" s="72"/>
      <x:c r="G89" s="73"/>
      <x:c r="H89" s="73"/>
      <x:c r="I89" s="8"/>
      <x:c r="J89" s="8"/>
      <x:c r="K89" s="71" t="str">
        <x:f>IF($A89="","",TRUE)</x:f>
      </x:c>
    </x:row>
    <x:row r="90">
      <x:c r="A90" s="8"/>
      <x:c r="B90" s="68"/>
      <x:c r="C90" s="68"/>
      <x:c r="D90" s="72"/>
      <x:c r="E90" s="72"/>
      <x:c r="F90" s="72"/>
      <x:c r="G90" s="73"/>
      <x:c r="H90" s="73"/>
      <x:c r="I90" s="8"/>
      <x:c r="J90" s="8"/>
      <x:c r="K90" s="71" t="str">
        <x:f>IF($A90="","",TRUE)</x:f>
      </x:c>
    </x:row>
    <x:row r="91">
      <x:c r="A91" s="8"/>
      <x:c r="B91" s="68"/>
      <x:c r="C91" s="68"/>
      <x:c r="D91" s="72"/>
      <x:c r="E91" s="72"/>
      <x:c r="F91" s="72"/>
      <x:c r="G91" s="73"/>
      <x:c r="H91" s="73"/>
      <x:c r="I91" s="8"/>
      <x:c r="J91" s="8"/>
      <x:c r="K91" s="71" t="str">
        <x:f>IF($A91="","",TRUE)</x:f>
      </x:c>
    </x:row>
    <x:row r="92">
      <x:c r="A92" s="8"/>
      <x:c r="B92" s="68"/>
      <x:c r="C92" s="68"/>
      <x:c r="D92" s="72"/>
      <x:c r="E92" s="72"/>
      <x:c r="F92" s="72"/>
      <x:c r="G92" s="73"/>
      <x:c r="H92" s="73"/>
      <x:c r="I92" s="8"/>
      <x:c r="J92" s="8"/>
      <x:c r="K92" s="71" t="str">
        <x:f>IF($A92="","",TRUE)</x:f>
      </x:c>
    </x:row>
    <x:row r="93">
      <x:c r="A93" s="8"/>
      <x:c r="B93" s="68"/>
      <x:c r="C93" s="68"/>
      <x:c r="D93" s="72"/>
      <x:c r="E93" s="72"/>
      <x:c r="F93" s="72"/>
      <x:c r="G93" s="73"/>
      <x:c r="H93" s="73"/>
      <x:c r="I93" s="8"/>
      <x:c r="J93" s="8"/>
      <x:c r="K93" s="71" t="str">
        <x:f>IF($A93="","",TRUE)</x:f>
      </x:c>
    </x:row>
    <x:row r="94">
      <x:c r="A94" s="8"/>
      <x:c r="B94" s="68"/>
      <x:c r="C94" s="68"/>
      <x:c r="D94" s="72"/>
      <x:c r="E94" s="72"/>
      <x:c r="F94" s="72"/>
      <x:c r="G94" s="73"/>
      <x:c r="H94" s="73"/>
      <x:c r="I94" s="8"/>
      <x:c r="J94" s="8"/>
      <x:c r="K94" s="71" t="str">
        <x:f>IF($A94="","",TRUE)</x:f>
      </x:c>
    </x:row>
    <x:row r="95">
      <x:c r="A95" s="8"/>
      <x:c r="B95" s="68"/>
      <x:c r="C95" s="68"/>
      <x:c r="D95" s="72"/>
      <x:c r="E95" s="72"/>
      <x:c r="F95" s="72"/>
      <x:c r="G95" s="73"/>
      <x:c r="H95" s="73"/>
      <x:c r="I95" s="8"/>
      <x:c r="J95" s="8"/>
      <x:c r="K95" s="71" t="str">
        <x:f>IF($A95="","",TRUE)</x:f>
      </x:c>
    </x:row>
    <x:row r="96">
      <x:c r="A96" s="8"/>
      <x:c r="B96" s="68"/>
      <x:c r="C96" s="68"/>
      <x:c r="D96" s="72"/>
      <x:c r="E96" s="72"/>
      <x:c r="F96" s="72"/>
      <x:c r="G96" s="73"/>
      <x:c r="H96" s="73"/>
      <x:c r="I96" s="8"/>
      <x:c r="J96" s="8"/>
      <x:c r="K96" s="71" t="str">
        <x:f>IF($A96="","",TRUE)</x:f>
      </x:c>
    </x:row>
    <x:row r="97">
      <x:c r="A97" s="8"/>
      <x:c r="B97" s="68"/>
      <x:c r="C97" s="68"/>
      <x:c r="D97" s="72"/>
      <x:c r="E97" s="72"/>
      <x:c r="F97" s="72"/>
      <x:c r="G97" s="73"/>
      <x:c r="H97" s="73"/>
      <x:c r="I97" s="8"/>
      <x:c r="J97" s="8"/>
      <x:c r="K97" s="71" t="str">
        <x:f>IF($A97="","",TRUE)</x:f>
      </x:c>
    </x:row>
    <x:row r="98">
      <x:c r="A98" s="8"/>
      <x:c r="B98" s="68"/>
      <x:c r="C98" s="68"/>
      <x:c r="D98" s="72"/>
      <x:c r="E98" s="72"/>
      <x:c r="F98" s="72"/>
      <x:c r="G98" s="73"/>
      <x:c r="H98" s="73"/>
      <x:c r="I98" s="8"/>
      <x:c r="J98" s="8"/>
      <x:c r="K98" s="71" t="str">
        <x:f>IF($A98="","",TRUE)</x:f>
      </x:c>
    </x:row>
    <x:row r="99">
      <x:c r="A99" s="8"/>
      <x:c r="B99" s="68"/>
      <x:c r="C99" s="68"/>
      <x:c r="D99" s="72"/>
      <x:c r="E99" s="72"/>
      <x:c r="F99" s="72"/>
      <x:c r="G99" s="73"/>
      <x:c r="H99" s="73"/>
      <x:c r="I99" s="8"/>
      <x:c r="J99" s="8"/>
      <x:c r="K99" s="71" t="str">
        <x:f>IF($A99="","",TRUE)</x:f>
      </x:c>
    </x:row>
    <x:row r="100">
      <x:c r="A100" s="8"/>
      <x:c r="B100" s="68"/>
      <x:c r="C100" s="68"/>
      <x:c r="D100" s="72"/>
      <x:c r="E100" s="72"/>
      <x:c r="F100" s="72"/>
      <x:c r="G100" s="73"/>
      <x:c r="H100" s="73"/>
      <x:c r="I100" s="8"/>
      <x:c r="J100" s="8"/>
      <x:c r="K100" s="71" t="str">
        <x:f>IF($A100="","",TRUE)</x:f>
      </x:c>
    </x:row>
    <x:row r="101">
      <x:c r="A101" s="8"/>
      <x:c r="B101" s="68"/>
      <x:c r="C101" s="68"/>
      <x:c r="D101" s="72"/>
      <x:c r="E101" s="72"/>
      <x:c r="F101" s="72"/>
      <x:c r="G101" s="73"/>
      <x:c r="H101" s="73"/>
      <x:c r="I101" s="8"/>
      <x:c r="J101" s="8"/>
      <x:c r="K101" s="71" t="str">
        <x:f>IF($A101="","",TRUE)</x:f>
      </x:c>
    </x:row>
    <x:row r="102">
      <x:c r="A102" s="8"/>
      <x:c r="B102" s="68"/>
      <x:c r="C102" s="68"/>
      <x:c r="D102" s="72"/>
      <x:c r="E102" s="72"/>
      <x:c r="F102" s="72"/>
      <x:c r="G102" s="73"/>
      <x:c r="H102" s="73"/>
      <x:c r="I102" s="8"/>
      <x:c r="J102" s="8"/>
      <x:c r="K102" s="71" t="str">
        <x:f>IF($A102="","",TRUE)</x:f>
      </x:c>
    </x:row>
    <x:row r="103">
      <x:c r="A103" s="8"/>
      <x:c r="B103" s="68"/>
      <x:c r="C103" s="68"/>
      <x:c r="D103" s="72"/>
      <x:c r="E103" s="72"/>
      <x:c r="F103" s="72"/>
      <x:c r="G103" s="73"/>
      <x:c r="H103" s="73"/>
      <x:c r="I103" s="8"/>
      <x:c r="J103" s="8"/>
      <x:c r="K103" s="71" t="str">
        <x:f>IF($A103="","",TRUE)</x:f>
      </x:c>
    </x:row>
    <x:row r="104">
      <x:c r="A104" s="8"/>
      <x:c r="B104" s="68"/>
      <x:c r="C104" s="68"/>
      <x:c r="D104" s="72"/>
      <x:c r="E104" s="72"/>
      <x:c r="F104" s="72"/>
      <x:c r="G104" s="73"/>
      <x:c r="H104" s="73"/>
      <x:c r="I104" s="8"/>
      <x:c r="J104" s="8"/>
      <x:c r="K104" s="71" t="str">
        <x:f>IF($A104="","",TRUE)</x:f>
      </x:c>
    </x:row>
  </x:sheetData>
  <x:mergeCells>
    <x:mergeCell ref="A1:K1"/>
    <x:mergeCell ref="A2:K2"/>
    <x:mergeCell ref="A3:K3"/>
    <x:mergeCell ref="A17:K17"/>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26" hidden="0" customWidth="1"/>
    <x:col min="4" max="4" width="26" hidden="0" customWidth="1"/>
    <x:col min="5" max="5" width="12" hidden="0" customWidth="1"/>
    <x:col min="6" max="6" width="20" hidden="0" customWidth="1"/>
    <x:col min="7" max="7" width="18" hidden="0" customWidth="1"/>
    <x:col min="8" max="8" width="18" hidden="0" customWidth="1"/>
    <x:col min="9" max="9" width="12" hidden="0" customWidth="1"/>
    <x:col min="10" max="10" width="12" hidden="0" customWidth="1"/>
    <x:col min="11" max="11" width="14" hidden="0" customWidth="1"/>
    <x:col min="12" max="12" width="20" hidden="0" customWidth="1"/>
    <x:col min="13" max="13" width="20" hidden="0" customWidth="1"/>
    <x:col min="14" max="14" width="18" hidden="0" customWidth="1"/>
    <x:col min="15" max="15" width="22" hidden="0" customWidth="1"/>
    <x:col min="16" max="16" width="22" hidden="0" customWidth="1"/>
    <x:col min="17" max="17" width="20" hidden="0" customWidth="1"/>
    <x:col min="18" max="18" width="20" hidden="0" customWidth="1"/>
    <x:col min="19" max="19" width="36" hidden="0" customWidth="1"/>
  </x:cols>
  <x:sheetData>
    <x:row r="1" ht="28" customHeight="1">
      <x:c r="A1" s="3" t="str">
        <x:v>12-Repository Calibration Pilot Register</x:v>
      </x:c>
      <x:c r="B1" s="3" t="str">
        <x:v>12-Repository Calibration Pilot Register</x:v>
      </x:c>
      <x:c r="C1" s="3" t="str">
        <x:v>12-Repository Calibration Pilot Register</x:v>
      </x:c>
      <x:c r="D1" s="3" t="str">
        <x:v>12-Repository Calibration Pilot Register</x:v>
      </x:c>
      <x:c r="E1" s="3" t="str">
        <x:v>12-Repository Calibration Pilot Register</x:v>
      </x:c>
      <x:c r="F1" s="3" t="str">
        <x:v>12-Repository Calibration Pilot Register</x:v>
      </x:c>
      <x:c r="G1" s="3" t="str">
        <x:v>12-Repository Calibration Pilot Register</x:v>
      </x:c>
      <x:c r="H1" s="3" t="str">
        <x:v>12-Repository Calibration Pilot Register</x:v>
      </x:c>
      <x:c r="I1" s="3" t="str">
        <x:v>12-Repository Calibration Pilot Register</x:v>
      </x:c>
      <x:c r="J1" s="3" t="str">
        <x:v>12-Repository Calibration Pilot Register</x:v>
      </x:c>
      <x:c r="K1" s="3" t="str">
        <x:v>12-Repository Calibration Pilot Register</x:v>
      </x:c>
      <x:c r="L1" s="3" t="str">
        <x:v>12-Repository Calibration Pilot Register</x:v>
      </x:c>
      <x:c r="M1" s="3" t="str">
        <x:v>12-Repository Calibration Pilot Register</x:v>
      </x:c>
      <x:c r="N1" s="3" t="str">
        <x:v>12-Repository Calibration Pilot Register</x:v>
      </x:c>
      <x:c r="O1" s="3" t="str">
        <x:v>12-Repository Calibration Pilot Register</x:v>
      </x:c>
      <x:c r="P1" s="3" t="str">
        <x:v>12-Repository Calibration Pilot Register</x:v>
      </x:c>
      <x:c r="Q1" s="3" t="str">
        <x:v>12-Repository Calibration Pilot Register</x:v>
      </x:c>
      <x:c r="R1" s="3" t="str">
        <x:v>12-Repository Calibration Pilot Register</x:v>
      </x:c>
      <x:c r="S1" s="3" t="str">
        <x:v>12-Repository Calibration Pilot Register</x:v>
      </x:c>
    </x:row>
    <x:row r="2" ht="30" customHeight="1">
      <x:c r="A2" s="7" t="str">
        <x:v>Field-pilot input only. Column F contains an opaque pilot-lead-only stratum code; never disclose prior health expectations to assessors. Zero adjudicated gate failures are N/A to the gate-detection denominator.</x:v>
      </x:c>
      <x:c r="B2" s="7" t="str">
        <x:v>Field-pilot input only. Column F contains an opaque pilot-lead-only stratum code; never disclose prior health expectations to assessors. Zero adjudicated gate failures are N/A to the gate-detection denominator.</x:v>
      </x:c>
      <x:c r="C2" s="7" t="str">
        <x:v>Field-pilot input only. Column F contains an opaque pilot-lead-only stratum code; never disclose prior health expectations to assessors. Zero adjudicated gate failures are N/A to the gate-detection denominator.</x:v>
      </x:c>
      <x:c r="D2" s="7" t="str">
        <x:v>Field-pilot input only. Column F contains an opaque pilot-lead-only stratum code; never disclose prior health expectations to assessors. Zero adjudicated gate failures are N/A to the gate-detection denominator.</x:v>
      </x:c>
      <x:c r="E2" s="7" t="str">
        <x:v>Field-pilot input only. Column F contains an opaque pilot-lead-only stratum code; never disclose prior health expectations to assessors. Zero adjudicated gate failures are N/A to the gate-detection denominator.</x:v>
      </x:c>
      <x:c r="F2" s="7" t="str">
        <x:v>Field-pilot input only. Column F contains an opaque pilot-lead-only stratum code; never disclose prior health expectations to assessors. Zero adjudicated gate failures are N/A to the gate-detection denominator.</x:v>
      </x:c>
      <x:c r="G2" s="7" t="str">
        <x:v>Field-pilot input only. Column F contains an opaque pilot-lead-only stratum code; never disclose prior health expectations to assessors. Zero adjudicated gate failures are N/A to the gate-detection denominator.</x:v>
      </x:c>
      <x:c r="H2" s="7" t="str">
        <x:v>Field-pilot input only. Column F contains an opaque pilot-lead-only stratum code; never disclose prior health expectations to assessors. Zero adjudicated gate failures are N/A to the gate-detection denominator.</x:v>
      </x:c>
      <x:c r="I2" s="7" t="str">
        <x:v>Field-pilot input only. Column F contains an opaque pilot-lead-only stratum code; never disclose prior health expectations to assessors. Zero adjudicated gate failures are N/A to the gate-detection denominator.</x:v>
      </x:c>
      <x:c r="J2" s="7" t="str">
        <x:v>Field-pilot input only. Column F contains an opaque pilot-lead-only stratum code; never disclose prior health expectations to assessors. Zero adjudicated gate failures are N/A to the gate-detection denominator.</x:v>
      </x:c>
      <x:c r="K2" s="7" t="str">
        <x:v>Field-pilot input only. Column F contains an opaque pilot-lead-only stratum code; never disclose prior health expectations to assessors. Zero adjudicated gate failures are N/A to the gate-detection denominator.</x:v>
      </x:c>
      <x:c r="L2" s="7" t="str">
        <x:v>Field-pilot input only. Column F contains an opaque pilot-lead-only stratum code; never disclose prior health expectations to assessors. Zero adjudicated gate failures are N/A to the gate-detection denominator.</x:v>
      </x:c>
      <x:c r="M2" s="7" t="str">
        <x:v>Field-pilot input only. Column F contains an opaque pilot-lead-only stratum code; never disclose prior health expectations to assessors. Zero adjudicated gate failures are N/A to the gate-detection denominator.</x:v>
      </x:c>
      <x:c r="N2" s="7" t="str">
        <x:v>Field-pilot input only. Column F contains an opaque pilot-lead-only stratum code; never disclose prior health expectations to assessors. Zero adjudicated gate failures are N/A to the gate-detection denominator.</x:v>
      </x:c>
      <x:c r="O2" s="7" t="str">
        <x:v>Field-pilot input only. Column F contains an opaque pilot-lead-only stratum code; never disclose prior health expectations to assessors. Zero adjudicated gate failures are N/A to the gate-detection denominator.</x:v>
      </x:c>
      <x:c r="P2" s="7" t="str">
        <x:v>Field-pilot input only. Column F contains an opaque pilot-lead-only stratum code; never disclose prior health expectations to assessors. Zero adjudicated gate failures are N/A to the gate-detection denominator.</x:v>
      </x:c>
      <x:c r="Q2" s="7" t="str">
        <x:v>Field-pilot input only. Column F contains an opaque pilot-lead-only stratum code; never disclose prior health expectations to assessors. Zero adjudicated gate failures are N/A to the gate-detection denominator.</x:v>
      </x:c>
      <x:c r="R2" s="7" t="str">
        <x:v>Field-pilot input only. Column F contains an opaque pilot-lead-only stratum code; never disclose prior health expectations to assessors. Zero adjudicated gate failures are N/A to the gate-detection denominator.</x:v>
      </x:c>
      <x:c r="S2" s="7" t="str">
        <x:v>Field-pilot input only. Column F contains an opaque pilot-lead-only stratum code; never disclose prior health expectations to assessors. Zero adjudicated gate failures are N/A to the gate-detection denominator.</x:v>
      </x:c>
    </x:row>
    <x:row r="4" ht="30" customHeight="1">
      <x:c r="A4" s="24" t="str">
        <x:v>Pilot ID</x:v>
      </x:c>
      <x:c r="B4" s="24" t="str">
        <x:v>Repository/unit</x:v>
      </x:c>
      <x:c r="C4" s="24" t="str">
        <x:v>Primary type</x:v>
      </x:c>
      <x:c r="D4" s="24" t="str">
        <x:v>Methodology</x:v>
      </x:c>
      <x:c r="E4" s="24" t="str">
        <x:v>Risk tier</x:v>
      </x:c>
      <x:c r="F4" s="24" t="str">
        <x:v>Blinded stratum code</x:v>
      </x:c>
      <x:c r="G4" s="24" t="str">
        <x:v>Assessor A</x:v>
      </x:c>
      <x:c r="H4" s="24" t="str">
        <x:v>Assessor B</x:v>
      </x:c>
      <x:c r="I4" s="24" t="str">
        <x:v>Score A</x:v>
      </x:c>
      <x:c r="J4" s="24" t="str">
        <x:v>Score B</x:v>
      </x:c>
      <x:c r="K4" s="24" t="str">
        <x:v>Absolute delta</x:v>
      </x:c>
      <x:c r="L4" s="24" t="str">
        <x:v>Exact rating agreements</x:v>
      </x:c>
      <x:c r="M4" s="24" t="str">
        <x:v>Compared control ratings</x:v>
      </x:c>
      <x:c r="N4" s="24" t="str">
        <x:v>Control agreement</x:v>
      </x:c>
      <x:c r="O4" s="24" t="str">
        <x:v>Gate failures identified by both</x:v>
      </x:c>
      <x:c r="P4" s="24" t="str">
        <x:v>Total adjudicated gate failures</x:v>
      </x:c>
      <x:c r="Q4" s="24" t="str">
        <x:v>Gate-failure detection rate</x:v>
      </x:c>
      <x:c r="R4" s="24" t="str">
        <x:v>Status</x:v>
      </x:c>
      <x:c r="S4" s="24" t="str">
        <x:v>Notes</x:v>
      </x:c>
    </x:row>
    <x:row r="5">
      <x:c r="A5" s="25" t="str">
        <x:v>P01</x:v>
      </x:c>
      <x:c r="B5" s="53" t="str"/>
      <x:c r="C5" s="53" t="str"/>
      <x:c r="D5" s="53" t="str"/>
      <x:c r="E5" s="53" t="str">
        <x:v>Baseline</x:v>
      </x:c>
      <x:c r="F5" s="53" t="str">
        <x:v>BL-01</x:v>
      </x:c>
      <x:c r="G5" s="53" t="str"/>
      <x:c r="H5" s="53" t="str"/>
      <x:c r="I5" s="74" t="str"/>
      <x:c r="J5" s="74" t="str"/>
      <x:c r="K5" s="63" t="str">
        <x:f>IF(OR($I5="",$J5=""),"",ABS($I5-$J5))</x:f>
      </x:c>
      <x:c r="L5" s="53" t="str"/>
      <x:c r="M5" s="53" t="str"/>
      <x:c r="N5" s="66" t="str">
        <x:f>IF(OR($L5="",$M5="",$M5=0),"",$L5/$M5)</x:f>
      </x:c>
      <x:c r="O5" s="53" t="str"/>
      <x:c r="P5" s="53" t="str"/>
      <x:c r="Q5" s="66" t="str">
        <x:f>IF(COUNT($O5:$P5)&lt;2,"",IF($P5=0,"N/A",$O5/$P5))</x:f>
      </x:c>
      <x:c r="R5" s="53" t="str">
        <x:v>Nominated</x:v>
      </x:c>
      <x:c r="S5" s="53" t="str"/>
    </x:row>
    <x:row r="6">
      <x:c r="A6" s="25" t="str">
        <x:v>P02</x:v>
      </x:c>
      <x:c r="B6" s="53" t="str"/>
      <x:c r="C6" s="53" t="str"/>
      <x:c r="D6" s="53" t="str"/>
      <x:c r="E6" s="53" t="str">
        <x:v>Elevated</x:v>
      </x:c>
      <x:c r="F6" s="53" t="str">
        <x:v>BL-02</x:v>
      </x:c>
      <x:c r="G6" s="53" t="str"/>
      <x:c r="H6" s="53" t="str"/>
      <x:c r="I6" s="74" t="str"/>
      <x:c r="J6" s="74" t="str"/>
      <x:c r="K6" s="63" t="str">
        <x:f>IF(OR($I6="",$J6=""),"",ABS($I6-$J6))</x:f>
      </x:c>
      <x:c r="L6" s="53" t="str"/>
      <x:c r="M6" s="53" t="str"/>
      <x:c r="N6" s="66" t="str">
        <x:f>IF(OR($L6="",$M6="",$M6=0),"",$L6/$M6)</x:f>
      </x:c>
      <x:c r="O6" s="53" t="str"/>
      <x:c r="P6" s="53" t="str"/>
      <x:c r="Q6" s="66" t="str">
        <x:f>IF(COUNT($O6:$P6)&lt;2,"",IF($P6=0,"N/A",$O6/$P6))</x:f>
      </x:c>
      <x:c r="R6" s="53" t="str">
        <x:v>Nominated</x:v>
      </x:c>
      <x:c r="S6" s="53" t="str"/>
    </x:row>
    <x:row r="7">
      <x:c r="A7" s="25" t="str">
        <x:v>P03</x:v>
      </x:c>
      <x:c r="B7" s="53" t="str"/>
      <x:c r="C7" s="53" t="str"/>
      <x:c r="D7" s="53" t="str"/>
      <x:c r="E7" s="53" t="str">
        <x:v>Critical</x:v>
      </x:c>
      <x:c r="F7" s="53" t="str">
        <x:v>BL-03</x:v>
      </x:c>
      <x:c r="G7" s="53" t="str"/>
      <x:c r="H7" s="53" t="str"/>
      <x:c r="I7" s="74" t="str"/>
      <x:c r="J7" s="74" t="str"/>
      <x:c r="K7" s="63" t="str">
        <x:f>IF(OR($I7="",$J7=""),"",ABS($I7-$J7))</x:f>
      </x:c>
      <x:c r="L7" s="53" t="str"/>
      <x:c r="M7" s="53" t="str"/>
      <x:c r="N7" s="66" t="str">
        <x:f>IF(OR($L7="",$M7="",$M7=0),"",$L7/$M7)</x:f>
      </x:c>
      <x:c r="O7" s="53" t="str"/>
      <x:c r="P7" s="53" t="str"/>
      <x:c r="Q7" s="66" t="str">
        <x:f>IF(COUNT($O7:$P7)&lt;2,"",IF($P7=0,"N/A",$O7/$P7))</x:f>
      </x:c>
      <x:c r="R7" s="53" t="str">
        <x:v>Nominated</x:v>
      </x:c>
      <x:c r="S7" s="53" t="str"/>
    </x:row>
    <x:row r="8">
      <x:c r="A8" s="25" t="str">
        <x:v>P04</x:v>
      </x:c>
      <x:c r="B8" s="53" t="str"/>
      <x:c r="C8" s="53" t="str"/>
      <x:c r="D8" s="53" t="str"/>
      <x:c r="E8" s="53" t="str">
        <x:v>Baseline</x:v>
      </x:c>
      <x:c r="F8" s="53" t="str">
        <x:v>BL-04</x:v>
      </x:c>
      <x:c r="G8" s="53" t="str"/>
      <x:c r="H8" s="53" t="str"/>
      <x:c r="I8" s="74" t="str"/>
      <x:c r="J8" s="74" t="str"/>
      <x:c r="K8" s="63" t="str">
        <x:f>IF(OR($I8="",$J8=""),"",ABS($I8-$J8))</x:f>
      </x:c>
      <x:c r="L8" s="53" t="str"/>
      <x:c r="M8" s="53" t="str"/>
      <x:c r="N8" s="66" t="str">
        <x:f>IF(OR($L8="",$M8="",$M8=0),"",$L8/$M8)</x:f>
      </x:c>
      <x:c r="O8" s="53" t="str"/>
      <x:c r="P8" s="53" t="str"/>
      <x:c r="Q8" s="66" t="str">
        <x:f>IF(COUNT($O8:$P8)&lt;2,"",IF($P8=0,"N/A",$O8/$P8))</x:f>
      </x:c>
      <x:c r="R8" s="53" t="str">
        <x:v>Nominated</x:v>
      </x:c>
      <x:c r="S8" s="53" t="str"/>
    </x:row>
    <x:row r="9">
      <x:c r="A9" s="25" t="str">
        <x:v>P05</x:v>
      </x:c>
      <x:c r="B9" s="53" t="str"/>
      <x:c r="C9" s="53" t="str"/>
      <x:c r="D9" s="53" t="str"/>
      <x:c r="E9" s="53" t="str">
        <x:v>Elevated</x:v>
      </x:c>
      <x:c r="F9" s="53" t="str">
        <x:v>BL-05</x:v>
      </x:c>
      <x:c r="G9" s="53" t="str"/>
      <x:c r="H9" s="53" t="str"/>
      <x:c r="I9" s="74" t="str"/>
      <x:c r="J9" s="74" t="str"/>
      <x:c r="K9" s="63" t="str">
        <x:f>IF(OR($I9="",$J9=""),"",ABS($I9-$J9))</x:f>
      </x:c>
      <x:c r="L9" s="53" t="str"/>
      <x:c r="M9" s="53" t="str"/>
      <x:c r="N9" s="66" t="str">
        <x:f>IF(OR($L9="",$M9="",$M9=0),"",$L9/$M9)</x:f>
      </x:c>
      <x:c r="O9" s="53" t="str"/>
      <x:c r="P9" s="53" t="str"/>
      <x:c r="Q9" s="66" t="str">
        <x:f>IF(COUNT($O9:$P9)&lt;2,"",IF($P9=0,"N/A",$O9/$P9))</x:f>
      </x:c>
      <x:c r="R9" s="53" t="str">
        <x:v>Nominated</x:v>
      </x:c>
      <x:c r="S9" s="53" t="str"/>
    </x:row>
    <x:row r="10">
      <x:c r="A10" s="25" t="str">
        <x:v>P06</x:v>
      </x:c>
      <x:c r="B10" s="53" t="str"/>
      <x:c r="C10" s="53" t="str"/>
      <x:c r="D10" s="53" t="str"/>
      <x:c r="E10" s="53" t="str">
        <x:v>Critical</x:v>
      </x:c>
      <x:c r="F10" s="53" t="str">
        <x:v>BL-06</x:v>
      </x:c>
      <x:c r="G10" s="53" t="str"/>
      <x:c r="H10" s="53" t="str"/>
      <x:c r="I10" s="74" t="str"/>
      <x:c r="J10" s="74" t="str"/>
      <x:c r="K10" s="63" t="str">
        <x:f>IF(OR($I10="",$J10=""),"",ABS($I10-$J10))</x:f>
      </x:c>
      <x:c r="L10" s="53" t="str"/>
      <x:c r="M10" s="53" t="str"/>
      <x:c r="N10" s="66" t="str">
        <x:f>IF(OR($L10="",$M10="",$M10=0),"",$L10/$M10)</x:f>
      </x:c>
      <x:c r="O10" s="53" t="str"/>
      <x:c r="P10" s="53" t="str"/>
      <x:c r="Q10" s="66" t="str">
        <x:f>IF(COUNT($O10:$P10)&lt;2,"",IF($P10=0,"N/A",$O10/$P10))</x:f>
      </x:c>
      <x:c r="R10" s="53" t="str">
        <x:v>Nominated</x:v>
      </x:c>
      <x:c r="S10" s="53" t="str"/>
    </x:row>
    <x:row r="11">
      <x:c r="A11" s="25" t="str">
        <x:v>P07</x:v>
      </x:c>
      <x:c r="B11" s="53" t="str"/>
      <x:c r="C11" s="53" t="str"/>
      <x:c r="D11" s="53" t="str"/>
      <x:c r="E11" s="53" t="str">
        <x:v>Baseline</x:v>
      </x:c>
      <x:c r="F11" s="53" t="str">
        <x:v>BL-07</x:v>
      </x:c>
      <x:c r="G11" s="53" t="str"/>
      <x:c r="H11" s="53" t="str"/>
      <x:c r="I11" s="74" t="str"/>
      <x:c r="J11" s="74" t="str"/>
      <x:c r="K11" s="63" t="str">
        <x:f>IF(OR($I11="",$J11=""),"",ABS($I11-$J11))</x:f>
      </x:c>
      <x:c r="L11" s="53" t="str"/>
      <x:c r="M11" s="53" t="str"/>
      <x:c r="N11" s="66" t="str">
        <x:f>IF(OR($L11="",$M11="",$M11=0),"",$L11/$M11)</x:f>
      </x:c>
      <x:c r="O11" s="53" t="str"/>
      <x:c r="P11" s="53" t="str"/>
      <x:c r="Q11" s="66" t="str">
        <x:f>IF(COUNT($O11:$P11)&lt;2,"",IF($P11=0,"N/A",$O11/$P11))</x:f>
      </x:c>
      <x:c r="R11" s="53" t="str">
        <x:v>Nominated</x:v>
      </x:c>
      <x:c r="S11" s="53" t="str"/>
    </x:row>
    <x:row r="12">
      <x:c r="A12" s="25" t="str">
        <x:v>P08</x:v>
      </x:c>
      <x:c r="B12" s="53" t="str"/>
      <x:c r="C12" s="53" t="str"/>
      <x:c r="D12" s="53" t="str"/>
      <x:c r="E12" s="53" t="str">
        <x:v>Elevated</x:v>
      </x:c>
      <x:c r="F12" s="53" t="str">
        <x:v>BL-08</x:v>
      </x:c>
      <x:c r="G12" s="53" t="str"/>
      <x:c r="H12" s="53" t="str"/>
      <x:c r="I12" s="74" t="str"/>
      <x:c r="J12" s="74" t="str"/>
      <x:c r="K12" s="63" t="str">
        <x:f>IF(OR($I12="",$J12=""),"",ABS($I12-$J12))</x:f>
      </x:c>
      <x:c r="L12" s="53" t="str"/>
      <x:c r="M12" s="53" t="str"/>
      <x:c r="N12" s="66" t="str">
        <x:f>IF(OR($L12="",$M12="",$M12=0),"",$L12/$M12)</x:f>
      </x:c>
      <x:c r="O12" s="53" t="str"/>
      <x:c r="P12" s="53" t="str"/>
      <x:c r="Q12" s="66" t="str">
        <x:f>IF(COUNT($O12:$P12)&lt;2,"",IF($P12=0,"N/A",$O12/$P12))</x:f>
      </x:c>
      <x:c r="R12" s="53" t="str">
        <x:v>Nominated</x:v>
      </x:c>
      <x:c r="S12" s="53" t="str"/>
    </x:row>
    <x:row r="13">
      <x:c r="A13" s="25" t="str">
        <x:v>P09</x:v>
      </x:c>
      <x:c r="B13" s="53" t="str"/>
      <x:c r="C13" s="53" t="str"/>
      <x:c r="D13" s="53" t="str"/>
      <x:c r="E13" s="53" t="str">
        <x:v>Critical</x:v>
      </x:c>
      <x:c r="F13" s="53" t="str">
        <x:v>BL-09</x:v>
      </x:c>
      <x:c r="G13" s="53" t="str"/>
      <x:c r="H13" s="53" t="str"/>
      <x:c r="I13" s="74" t="str"/>
      <x:c r="J13" s="74" t="str"/>
      <x:c r="K13" s="63" t="str">
        <x:f>IF(OR($I13="",$J13=""),"",ABS($I13-$J13))</x:f>
      </x:c>
      <x:c r="L13" s="53" t="str"/>
      <x:c r="M13" s="53" t="str"/>
      <x:c r="N13" s="66" t="str">
        <x:f>IF(OR($L13="",$M13="",$M13=0),"",$L13/$M13)</x:f>
      </x:c>
      <x:c r="O13" s="53" t="str"/>
      <x:c r="P13" s="53" t="str"/>
      <x:c r="Q13" s="66" t="str">
        <x:f>IF(COUNT($O13:$P13)&lt;2,"",IF($P13=0,"N/A",$O13/$P13))</x:f>
      </x:c>
      <x:c r="R13" s="53" t="str">
        <x:v>Nominated</x:v>
      </x:c>
      <x:c r="S13" s="53" t="str"/>
    </x:row>
    <x:row r="14">
      <x:c r="A14" s="25" t="str">
        <x:v>P10</x:v>
      </x:c>
      <x:c r="B14" s="53" t="str"/>
      <x:c r="C14" s="53" t="str"/>
      <x:c r="D14" s="53" t="str"/>
      <x:c r="E14" s="53" t="str">
        <x:v>Baseline</x:v>
      </x:c>
      <x:c r="F14" s="53" t="str">
        <x:v>BL-10</x:v>
      </x:c>
      <x:c r="G14" s="53" t="str"/>
      <x:c r="H14" s="53" t="str"/>
      <x:c r="I14" s="74" t="str"/>
      <x:c r="J14" s="74" t="str"/>
      <x:c r="K14" s="63" t="str">
        <x:f>IF(OR($I14="",$J14=""),"",ABS($I14-$J14))</x:f>
      </x:c>
      <x:c r="L14" s="53" t="str"/>
      <x:c r="M14" s="53" t="str"/>
      <x:c r="N14" s="66" t="str">
        <x:f>IF(OR($L14="",$M14="",$M14=0),"",$L14/$M14)</x:f>
      </x:c>
      <x:c r="O14" s="53" t="str"/>
      <x:c r="P14" s="53" t="str"/>
      <x:c r="Q14" s="66" t="str">
        <x:f>IF(COUNT($O14:$P14)&lt;2,"",IF($P14=0,"N/A",$O14/$P14))</x:f>
      </x:c>
      <x:c r="R14" s="53" t="str">
        <x:v>Nominated</x:v>
      </x:c>
      <x:c r="S14" s="53" t="str"/>
    </x:row>
    <x:row r="15">
      <x:c r="A15" s="25" t="str">
        <x:v>P11</x:v>
      </x:c>
      <x:c r="B15" s="53" t="str"/>
      <x:c r="C15" s="53" t="str"/>
      <x:c r="D15" s="53" t="str"/>
      <x:c r="E15" s="53" t="str">
        <x:v>Elevated</x:v>
      </x:c>
      <x:c r="F15" s="53" t="str">
        <x:v>BL-11</x:v>
      </x:c>
      <x:c r="G15" s="53" t="str"/>
      <x:c r="H15" s="53" t="str"/>
      <x:c r="I15" s="74" t="str"/>
      <x:c r="J15" s="74" t="str"/>
      <x:c r="K15" s="63" t="str">
        <x:f>IF(OR($I15="",$J15=""),"",ABS($I15-$J15))</x:f>
      </x:c>
      <x:c r="L15" s="53" t="str"/>
      <x:c r="M15" s="53" t="str"/>
      <x:c r="N15" s="66" t="str">
        <x:f>IF(OR($L15="",$M15="",$M15=0),"",$L15/$M15)</x:f>
      </x:c>
      <x:c r="O15" s="53" t="str"/>
      <x:c r="P15" s="53" t="str"/>
      <x:c r="Q15" s="66" t="str">
        <x:f>IF(COUNT($O15:$P15)&lt;2,"",IF($P15=0,"N/A",$O15/$P15))</x:f>
      </x:c>
      <x:c r="R15" s="53" t="str">
        <x:v>Nominated</x:v>
      </x:c>
      <x:c r="S15" s="53" t="str"/>
    </x:row>
    <x:row r="16">
      <x:c r="A16" s="25" t="str">
        <x:v>P12</x:v>
      </x:c>
      <x:c r="B16" s="53" t="str"/>
      <x:c r="C16" s="53" t="str"/>
      <x:c r="D16" s="53" t="str"/>
      <x:c r="E16" s="53" t="str">
        <x:v>Critical</x:v>
      </x:c>
      <x:c r="F16" s="53" t="str">
        <x:v>BL-12</x:v>
      </x:c>
      <x:c r="G16" s="53" t="str"/>
      <x:c r="H16" s="53" t="str"/>
      <x:c r="I16" s="74" t="str"/>
      <x:c r="J16" s="74" t="str"/>
      <x:c r="K16" s="63" t="str">
        <x:f>IF(OR($I16="",$J16=""),"",ABS($I16-$J16))</x:f>
      </x:c>
      <x:c r="L16" s="53" t="str"/>
      <x:c r="M16" s="53" t="str"/>
      <x:c r="N16" s="66" t="str">
        <x:f>IF(OR($L16="",$M16="",$M16=0),"",$L16/$M16)</x:f>
      </x:c>
      <x:c r="O16" s="53" t="str"/>
      <x:c r="P16" s="53" t="str"/>
      <x:c r="Q16" s="66" t="str">
        <x:f>IF(COUNT($O16:$P16)&lt;2,"",IF($P16=0,"N/A",$O16/$P16))</x:f>
      </x:c>
      <x:c r="R16" s="53" t="str">
        <x:v>Nominated</x:v>
      </x:c>
      <x:c r="S16" s="53" t="str"/>
    </x:row>
    <x:row r="19" ht="30" customHeight="1">
      <x:c r="A19" s="24" t="str">
        <x:v>Acceptance test</x:v>
      </x:c>
      <x:c r="B19" s="24"/>
      <x:c r="C19" s="24" t="str">
        <x:v>Result</x:v>
      </x:c>
      <x:c r="D19" s="24"/>
    </x:row>
    <x:row r="20">
      <x:c r="A20" s="25" t="str">
        <x:v>All 12 accepted</x:v>
      </x:c>
      <x:c r="B20" s="25"/>
      <x:c r="C20" s="25" t="str">
        <x:f>IF(COUNTIF($R$5:$R$16,"Accepted")=12,"PASS","PENDING")</x:f>
        <x:v>PENDING</x:v>
      </x:c>
      <x:c r="D20" s="25"/>
    </x:row>
    <x:row r="21">
      <x:c r="A21" s="25" t="str">
        <x:v>Median overall-score difference &lt;= 5 points</x:v>
      </x:c>
      <x:c r="B21" s="25"/>
      <x:c r="C21" s="25" t="str">
        <x:f>IF(COUNT($K$5:$K$16)&lt;12,"PENDING",IF(MEDIAN($K$5:$K$16)&lt;=5,"PASS","FAIL"))</x:f>
        <x:v>PENDING</x:v>
      </x:c>
      <x:c r="D21" s="25"/>
    </x:row>
    <x:row r="22">
      <x:c r="A22" s="25" t="str">
        <x:v>Aggregate control-rating agreement &gt;= 85%</x:v>
      </x:c>
      <x:c r="B22" s="25"/>
      <x:c r="C22" s="25" t="str">
        <x:f>IF(OR(COUNT($L$5:$L$16)&lt;12,COUNT($M$5:$M$16)&lt;12,SUM($M$5:$M$16)=0),"PENDING",IF(SUM($L$5:$L$16)/SUM($M$5:$M$16)&gt;=0.85,"PASS","FAIL"))</x:f>
        <x:v>PENDING</x:v>
      </x:c>
      <x:c r="D22" s="25"/>
    </x:row>
    <x:row r="23">
      <x:c r="A23" s="25" t="str">
        <x:v>100% foundational gate-failure detection rate</x:v>
      </x:c>
      <x:c r="B23" s="25"/>
      <x:c r="C23" s="25" t="str">
        <x:f>IF(COUNT($P$5:$P$16)&lt;12,"PENDING",IF(SUM($P$5:$P$16)=0,"N/A",IF(SUM($O$5:$O$16)/SUM($P$5:$P$16)=1,"PASS","FAIL")))</x:f>
        <x:v>PENDING</x:v>
      </x:c>
      <x:c r="D23" s="25"/>
    </x:row>
    <x:row r="24">
      <x:c r="A24" s="25" t="str">
        <x:v>Architecture approval</x:v>
      </x:c>
      <x:c r="B24" s="25"/>
      <x:c r="C24" s="25" t="str">
        <x:v>Manual decision required</x:v>
      </x:c>
      <x:c r="D24" s="25"/>
    </x:row>
  </x:sheetData>
  <x:mergeCells>
    <x:mergeCell ref="A1:S1"/>
    <x:mergeCell ref="A2:S2"/>
    <x:mergeCell ref="A19:B19"/>
    <x:mergeCell ref="A20:B20"/>
    <x:mergeCell ref="A21:B21"/>
    <x:mergeCell ref="A22:B22"/>
    <x:mergeCell ref="A23:B23"/>
    <x:mergeCell ref="A24:B24"/>
    <x:mergeCell ref="C19:D19"/>
    <x:mergeCell ref="C20:D20"/>
    <x:mergeCell ref="C21:D21"/>
    <x:mergeCell ref="C22:D22"/>
    <x:mergeCell ref="C23:D23"/>
    <x:mergeCell ref="C24:D24"/>
  </x:mergeCells>
  <x:dataValidations count="4">
    <x:dataValidation type="list" sqref="C5:C16">
      <x:formula1>"Deployable application,Library/package,Monorepo,Infrastructure-as-code/GitOps,Data/analytics/model,Documentation/content,Template/scaffold,Sandbox/experimental,Mirror/fork,Archived/retired,Unclassified"</x:formula1>
    </x:dataValidation>
    <x:dataValidation type="list" sqref="D5:D16">
      <x:formula1>"Trunk-based,GitHub Flow/short-lived feature branches,GitFlow,Environment-branch flow,Release train/multi-version maintenance,GitOps promotion,Fork/integration-manager,Direct gated trunk,Custom/hybrid,Unclassified"</x:formula1>
    </x:dataValidation>
    <x:dataValidation type="list" sqref="E5:E16">
      <x:formula1>"Baseline,Elevated,Critical,Unknown"</x:formula1>
    </x:dataValidation>
    <x:dataValidation type="list" sqref="R5:R16">
      <x:formula1>"Nominated,Approved,Assessor A complete,Assessor B complete,Adjudicated,Owner reviewed,Accepted"</x:formula1>
    </x:dataValidation>
  </x:dataValidations>
  <x:pageMargins left="0.7" right="0.7" top="0.75" bottom="0.75" header="0.3" footer="0.3"/>
  <x:legacyDrawing xmlns:r="http://schemas.openxmlformats.org/officeDocument/2006/relationships" r:id="Ree14ed838bd6493d"/>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3" t="str">
        <x:v>Reference Lists and Provisional Scoring Map</x:v>
      </x:c>
      <x:c r="B1" s="3" t="str">
        <x:v>Reference Lists and Provisional Scoring Map</x:v>
      </x:c>
      <x:c r="C1" s="3" t="str">
        <x:v>Reference Lists and Provisional Scoring Map</x:v>
      </x:c>
      <x:c r="D1" s="3" t="str">
        <x:v>Reference Lists and Provisional Scoring Map</x:v>
      </x:c>
      <x:c r="E1" s="3" t="str">
        <x:v>Reference Lists and Provisional Scoring Map</x:v>
      </x:c>
      <x:c r="F1" s="3" t="str">
        <x:v>Reference Lists and Provisional Scoring Map</x:v>
      </x:c>
      <x:c r="G1" s="3" t="str">
        <x:v>Reference Lists and Provisional Scoring Map</x:v>
      </x:c>
      <x:c r="H1" s="3" t="str">
        <x:v>Reference Lists and Provisional Scoring Map</x:v>
      </x:c>
    </x:row>
    <x:row r="2" ht="30" customHeight="1">
      <x:c r="A2" s="7" t="str">
        <x:v>Visible source-of-truth values used by the workbook. Changes require a versioned standards decision.</x:v>
      </x:c>
      <x:c r="B2" s="7" t="str">
        <x:v>Visible source-of-truth values used by the workbook. Changes require a versioned standards decision.</x:v>
      </x:c>
      <x:c r="C2" s="7" t="str">
        <x:v>Visible source-of-truth values used by the workbook. Changes require a versioned standards decision.</x:v>
      </x:c>
      <x:c r="D2" s="7" t="str">
        <x:v>Visible source-of-truth values used by the workbook. Changes require a versioned standards decision.</x:v>
      </x:c>
      <x:c r="E2" s="7" t="str">
        <x:v>Visible source-of-truth values used by the workbook. Changes require a versioned standards decision.</x:v>
      </x:c>
      <x:c r="F2" s="7" t="str">
        <x:v>Visible source-of-truth values used by the workbook. Changes require a versioned standards decision.</x:v>
      </x:c>
      <x:c r="G2" s="7" t="str">
        <x:v>Visible source-of-truth values used by the workbook. Changes require a versioned standards decision.</x:v>
      </x:c>
      <x:c r="H2" s="7" t="str">
        <x:v>Visible source-of-truth values used by the workbook. Changes require a versioned standards decision.</x:v>
      </x:c>
    </x:row>
    <x:row r="4" ht="30" customHeight="1">
      <x:c r="A4" s="24" t="str">
        <x:v>Conformance</x:v>
      </x:c>
      <x:c r="B4" s="24" t="str">
        <x:v>Points</x:v>
      </x:c>
      <x:c r="D4" s="24" t="str">
        <x:v>Assurance</x:v>
      </x:c>
      <x:c r="E4" s="24" t="str">
        <x:v>Level</x:v>
      </x:c>
      <x:c r="G4" s="24" t="str">
        <x:v>Minimum score</x:v>
      </x:c>
      <x:c r="H4" s="24" t="str">
        <x:v>Grade / maturity</x:v>
      </x:c>
    </x:row>
    <x:row r="5">
      <x:c r="A5" s="25" t="str">
        <x:v>Unknown</x:v>
      </x:c>
      <x:c r="B5" s="25" t="n">
        <x:v>0</x:v>
      </x:c>
      <x:c r="D5" s="25" t="str">
        <x:v>E0</x:v>
      </x:c>
      <x:c r="E5" s="25" t="n">
        <x:v>0</x:v>
      </x:c>
      <x:c r="G5" s="25" t="n">
        <x:v>90</x:v>
      </x:c>
      <x:c r="H5" s="25" t="str">
        <x:v>A / M4 — Leading</x:v>
      </x:c>
    </x:row>
    <x:row r="6">
      <x:c r="A6" s="25" t="str">
        <x:v>Unmet</x:v>
      </x:c>
      <x:c r="B6" s="25" t="n">
        <x:v>0</x:v>
      </x:c>
      <x:c r="D6" s="25" t="str">
        <x:v>E1</x:v>
      </x:c>
      <x:c r="E6" s="25" t="n">
        <x:v>1</x:v>
      </x:c>
      <x:c r="G6" s="25" t="n">
        <x:v>80</x:v>
      </x:c>
      <x:c r="H6" s="25" t="str">
        <x:v>B / M3 — Managed</x:v>
      </x:c>
    </x:row>
    <x:row r="7">
      <x:c r="A7" s="25" t="str">
        <x:v>Partially met</x:v>
      </x:c>
      <x:c r="B7" s="25" t="n">
        <x:v>0.5</x:v>
      </x:c>
      <x:c r="D7" s="25" t="str">
        <x:v>E2</x:v>
      </x:c>
      <x:c r="E7" s="25" t="n">
        <x:v>2</x:v>
      </x:c>
      <x:c r="G7" s="25" t="n">
        <x:v>70</x:v>
      </x:c>
      <x:c r="H7" s="25" t="str">
        <x:v>C / M2 — Defined</x:v>
      </x:c>
    </x:row>
    <x:row r="8">
      <x:c r="A8" s="25" t="str">
        <x:v>Met</x:v>
      </x:c>
      <x:c r="B8" s="25" t="n">
        <x:v>1</x:v>
      </x:c>
      <x:c r="D8" s="25" t="str">
        <x:v>E3</x:v>
      </x:c>
      <x:c r="E8" s="25" t="n">
        <x:v>3</x:v>
      </x:c>
      <x:c r="G8" s="25" t="n">
        <x:v>60</x:v>
      </x:c>
      <x:c r="H8" s="25" t="str">
        <x:v>D / M1 — Developing</x:v>
      </x:c>
    </x:row>
    <x:row r="9">
      <x:c r="A9" s="25" t="str">
        <x:v>N/A</x:v>
      </x:c>
      <x:c r="B9" s="25"/>
      <x:c r="D9" s="25" t="str">
        <x:v>E4</x:v>
      </x:c>
      <x:c r="E9" s="25" t="n">
        <x:v>4</x:v>
      </x:c>
      <x:c r="G9" s="25" t="n">
        <x:v>0</x:v>
      </x:c>
      <x:c r="H9" s="25" t="str">
        <x:v>F / M0 — At Risk</x:v>
      </x:c>
    </x:row>
    <x:row r="12" ht="30" customHeight="1">
      <x:c r="A12" s="24" t="str">
        <x:v>Risk tier</x:v>
      </x:c>
      <x:c r="B12" s="24" t="str">
        <x:v>Purpose</x:v>
      </x:c>
      <x:c r="C12" s="24"/>
      <x:c r="D12" s="24"/>
      <x:c r="E12" s="24"/>
      <x:c r="F12" s="24"/>
      <x:c r="G12" s="24"/>
      <x:c r="H12" s="24"/>
    </x:row>
    <x:row r="13">
      <x:c r="A13" s="25" t="str">
        <x:v>Baseline</x:v>
      </x:c>
      <x:c r="B13" s="25" t="str">
        <x:v>Universal minimum for every applicable repository.</x:v>
      </x:c>
      <x:c r="C13" s="25"/>
      <x:c r="D13" s="25"/>
      <x:c r="E13" s="25"/>
      <x:c r="F13" s="25"/>
      <x:c r="G13" s="25"/>
      <x:c r="H13" s="25"/>
    </x:row>
    <x:row r="14">
      <x:c r="A14" s="25" t="str">
        <x:v>Elevated</x:v>
      </x:c>
      <x:c r="B14" s="25" t="str">
        <x:v>Additional assurance for active internal or business-critical repositories.</x:v>
      </x:c>
      <x:c r="C14" s="25"/>
      <x:c r="D14" s="25"/>
      <x:c r="E14" s="25"/>
      <x:c r="F14" s="25"/>
      <x:c r="G14" s="25"/>
      <x:c r="H14" s="25"/>
    </x:row>
    <x:row r="15">
      <x:c r="A15" s="25" t="str">
        <x:v>Critical</x:v>
      </x:c>
      <x:c r="B15" s="25" t="str">
        <x:v>Strongest evidence and controls for production-critical or regulated repositories.</x:v>
      </x:c>
      <x:c r="C15" s="25"/>
      <x:c r="D15" s="25"/>
      <x:c r="E15" s="25"/>
      <x:c r="F15" s="25"/>
      <x:c r="G15" s="25"/>
      <x:c r="H15" s="25"/>
    </x:row>
    <x:row r="16">
      <x:c r="A16" s="25" t="str">
        <x:v>Gate cap</x:v>
      </x:c>
      <x:c r="B16" s="25" t="str">
        <x:v>Any applicable foundational gate that fails or remains Unknown caps the final result at 69 / D / M1 — Developing.</x:v>
      </x:c>
      <x:c r="C16" s="25"/>
      <x:c r="D16" s="25"/>
      <x:c r="E16" s="25"/>
      <x:c r="F16" s="25"/>
      <x:c r="G16" s="25"/>
      <x:c r="H16" s="25"/>
    </x:row>
  </x:sheetData>
  <x:mergeCells>
    <x:mergeCell ref="A1:H1"/>
    <x:mergeCell ref="A2:H2"/>
    <x:mergeCell ref="B12:H12"/>
    <x:mergeCell ref="B13:H13"/>
    <x:mergeCell ref="B14:H14"/>
    <x:mergeCell ref="B15:H15"/>
    <x:mergeCell ref="B16:H16"/>
  </x:mergeCells>
  <x:pageMargins left="0.7" right="0.7" top="0.75" bottom="0.75" header="0.3" footer="0.3"/>
</x:worksheet>
</file>